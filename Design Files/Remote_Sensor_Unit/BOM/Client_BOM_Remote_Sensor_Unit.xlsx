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remotesensorunit\Design Files\Remote_Sensor_Unit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92" i="1" l="1"/>
  <c r="K91" i="1" l="1"/>
  <c r="B91" i="1"/>
  <c r="K90" i="1"/>
  <c r="B90" i="1"/>
  <c r="K89" i="1"/>
  <c r="B89" i="1"/>
  <c r="K88" i="1"/>
  <c r="B88" i="1"/>
  <c r="K87" i="1"/>
  <c r="B87" i="1"/>
  <c r="K86" i="1"/>
  <c r="B86" i="1"/>
  <c r="K85" i="1"/>
  <c r="B85" i="1"/>
  <c r="K84" i="1"/>
  <c r="B84" i="1"/>
  <c r="K83" i="1"/>
  <c r="B83" i="1"/>
  <c r="K82" i="1"/>
  <c r="B82" i="1"/>
  <c r="K81" i="1"/>
  <c r="B81" i="1"/>
  <c r="K80" i="1"/>
  <c r="B80" i="1"/>
  <c r="K79" i="1"/>
  <c r="B79" i="1"/>
  <c r="K78" i="1"/>
  <c r="B78" i="1"/>
  <c r="K77" i="1"/>
  <c r="B77" i="1"/>
  <c r="K76" i="1"/>
  <c r="B76" i="1"/>
  <c r="K75" i="1"/>
  <c r="B75" i="1"/>
  <c r="K74" i="1"/>
  <c r="B74" i="1"/>
  <c r="K73" i="1"/>
  <c r="B73" i="1"/>
  <c r="K72" i="1"/>
  <c r="B72" i="1"/>
  <c r="K71" i="1"/>
  <c r="B71" i="1"/>
  <c r="K70" i="1"/>
  <c r="B70" i="1"/>
  <c r="K69" i="1"/>
  <c r="B69" i="1"/>
  <c r="K68" i="1"/>
  <c r="B68" i="1"/>
  <c r="K67" i="1"/>
  <c r="B67" i="1"/>
  <c r="K66" i="1"/>
  <c r="B66" i="1"/>
  <c r="K65" i="1"/>
  <c r="B65" i="1"/>
  <c r="K64" i="1"/>
  <c r="B64" i="1"/>
  <c r="K63" i="1"/>
  <c r="B63" i="1"/>
  <c r="K62" i="1"/>
  <c r="B62" i="1"/>
  <c r="K61" i="1"/>
  <c r="B61" i="1"/>
  <c r="K60" i="1"/>
  <c r="B60" i="1"/>
  <c r="K59" i="1"/>
  <c r="B59" i="1"/>
  <c r="K58" i="1"/>
  <c r="B58" i="1"/>
  <c r="K57" i="1"/>
  <c r="B57" i="1"/>
  <c r="K56" i="1"/>
  <c r="B56" i="1"/>
  <c r="K55" i="1"/>
  <c r="B55" i="1"/>
  <c r="K54" i="1"/>
  <c r="B54" i="1"/>
  <c r="K53" i="1"/>
  <c r="B53" i="1"/>
  <c r="K52" i="1"/>
  <c r="B52" i="1"/>
  <c r="K51" i="1"/>
  <c r="B51" i="1"/>
  <c r="K50" i="1"/>
  <c r="B50" i="1"/>
  <c r="K49" i="1"/>
  <c r="B49" i="1"/>
  <c r="K48" i="1"/>
  <c r="B48" i="1"/>
  <c r="K47" i="1"/>
  <c r="B47" i="1"/>
  <c r="K46" i="1"/>
  <c r="B46" i="1"/>
  <c r="K45" i="1"/>
  <c r="B45" i="1"/>
  <c r="K44" i="1"/>
  <c r="B44" i="1"/>
  <c r="K43" i="1"/>
  <c r="B43" i="1"/>
  <c r="K42" i="1"/>
  <c r="B42" i="1"/>
  <c r="K41" i="1"/>
  <c r="B41" i="1"/>
  <c r="K40" i="1"/>
  <c r="B40" i="1"/>
  <c r="K39" i="1"/>
  <c r="B39" i="1"/>
  <c r="K38" i="1"/>
  <c r="B38" i="1"/>
  <c r="K37" i="1"/>
  <c r="B37" i="1"/>
  <c r="K36" i="1"/>
  <c r="B36" i="1"/>
  <c r="K35" i="1"/>
  <c r="B35" i="1"/>
  <c r="K34" i="1"/>
  <c r="B34" i="1"/>
  <c r="K33" i="1"/>
  <c r="B33" i="1"/>
  <c r="K32" i="1"/>
  <c r="B32" i="1"/>
  <c r="K31" i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 l="1"/>
  <c r="K10" i="1"/>
  <c r="B11" i="1"/>
  <c r="B10" i="1"/>
</calcChain>
</file>

<file path=xl/sharedStrings.xml><?xml version="1.0" encoding="utf-8"?>
<sst xmlns="http://schemas.openxmlformats.org/spreadsheetml/2006/main" count="596" uniqueCount="412">
  <si>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</si>
  <si>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</si>
  <si>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</si>
  <si>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</si>
  <si>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</si>
  <si>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</si>
  <si>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</si>
  <si>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</si>
  <si>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</si>
  <si>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ESD Diode</t>
  </si>
  <si>
    <t>Fuse</t>
  </si>
  <si>
    <t>Ferrite Bead</t>
  </si>
  <si>
    <t>USB Connector</t>
  </si>
  <si>
    <t>Terminal Block</t>
  </si>
  <si>
    <t>RJ11 Ethernet Connector</t>
  </si>
  <si>
    <t>JST Connector</t>
  </si>
  <si>
    <t>FPC Connector</t>
  </si>
  <si>
    <t>Connector</t>
  </si>
  <si>
    <t>Pogo Connector</t>
  </si>
  <si>
    <t>mPCI-E Connector</t>
  </si>
  <si>
    <t>Relay</t>
  </si>
  <si>
    <t>Inductor</t>
  </si>
  <si>
    <t>LED</t>
  </si>
  <si>
    <t>BUZZER</t>
  </si>
  <si>
    <t>Mosfet</t>
  </si>
  <si>
    <t>Resistor</t>
  </si>
  <si>
    <t>Tactile Switch</t>
  </si>
  <si>
    <t>IC</t>
  </si>
  <si>
    <t>Temperature Sensor</t>
  </si>
  <si>
    <t>Crystal</t>
  </si>
  <si>
    <t>Designator</t>
  </si>
  <si>
    <t>ANT1</t>
  </si>
  <si>
    <t>C1</t>
  </si>
  <si>
    <t>C2, C3, C4, C10, C11, C12, C15, C20, C21, C23, C26, C31, C32, C33, C36, C37, C39, C42, C43, C46, C47, C48</t>
  </si>
  <si>
    <t>C5, C7, C13, C14, C22, C29, C34</t>
  </si>
  <si>
    <t>C6</t>
  </si>
  <si>
    <t>C8, C16, C17, C27, C30, C35, C38, C44</t>
  </si>
  <si>
    <t>C9</t>
  </si>
  <si>
    <t>C18</t>
  </si>
  <si>
    <t>C19, C24, C25</t>
  </si>
  <si>
    <t>C28</t>
  </si>
  <si>
    <t>C40, C41</t>
  </si>
  <si>
    <t>C45</t>
  </si>
  <si>
    <t>C49</t>
  </si>
  <si>
    <t>C50</t>
  </si>
  <si>
    <t>C51</t>
  </si>
  <si>
    <t>D1</t>
  </si>
  <si>
    <t>D2</t>
  </si>
  <si>
    <t>D3</t>
  </si>
  <si>
    <t>D4, D7, D8</t>
  </si>
  <si>
    <t>D5</t>
  </si>
  <si>
    <t>D6</t>
  </si>
  <si>
    <t>D9, D10</t>
  </si>
  <si>
    <t>F1</t>
  </si>
  <si>
    <t>FB1</t>
  </si>
  <si>
    <t>J1</t>
  </si>
  <si>
    <t>J2, J5</t>
  </si>
  <si>
    <t>J3, J4, J6, J7</t>
  </si>
  <si>
    <t>J8</t>
  </si>
  <si>
    <t>J9</t>
  </si>
  <si>
    <t>J10</t>
  </si>
  <si>
    <t>J11</t>
  </si>
  <si>
    <t>J12</t>
  </si>
  <si>
    <t>K1, K2</t>
  </si>
  <si>
    <t>L1</t>
  </si>
  <si>
    <t>L2</t>
  </si>
  <si>
    <t>L3</t>
  </si>
  <si>
    <t>L4</t>
  </si>
  <si>
    <t>L5</t>
  </si>
  <si>
    <t>LED1, LED2</t>
  </si>
  <si>
    <t>LS1</t>
  </si>
  <si>
    <t>P1, P2, P3, P4, P5, P6, P7, P8</t>
  </si>
  <si>
    <t>Q1</t>
  </si>
  <si>
    <t>Q2</t>
  </si>
  <si>
    <t>Q3, Q4, Q5</t>
  </si>
  <si>
    <t>R1, R2</t>
  </si>
  <si>
    <t>R3, R4, R30, R31, R45, R46</t>
  </si>
  <si>
    <t>R5</t>
  </si>
  <si>
    <t>R6, R14, R24, R37, R40</t>
  </si>
  <si>
    <t>R7</t>
  </si>
  <si>
    <t>R8</t>
  </si>
  <si>
    <t>R9</t>
  </si>
  <si>
    <t>R10</t>
  </si>
  <si>
    <t>R11, R22, R29, R34, R35, R36, R43</t>
  </si>
  <si>
    <t>R12, R38, R44</t>
  </si>
  <si>
    <t>R13</t>
  </si>
  <si>
    <t>R15, R16</t>
  </si>
  <si>
    <t>R17</t>
  </si>
  <si>
    <t>R18</t>
  </si>
  <si>
    <t>R19</t>
  </si>
  <si>
    <t>R20</t>
  </si>
  <si>
    <t>R21</t>
  </si>
  <si>
    <t>R23</t>
  </si>
  <si>
    <t>R25</t>
  </si>
  <si>
    <t>R26</t>
  </si>
  <si>
    <t>R27, R28, R32, R33, R39, R41, R42</t>
  </si>
  <si>
    <t>R47</t>
  </si>
  <si>
    <t>R48</t>
  </si>
  <si>
    <t>SW1</t>
  </si>
  <si>
    <t>U1, 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</si>
  <si>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</si>
  <si>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</si>
  <si>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</si>
  <si>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</si>
  <si>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</si>
  <si>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</si>
  <si>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</si>
  <si>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</si>
  <si>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</si>
  <si>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</si>
  <si>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</si>
  <si>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</si>
  <si>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X1</t>
  </si>
  <si>
    <t>Description</t>
  </si>
  <si>
    <t>CAP CER 4700PF 50V C0G/NPO 0603</t>
  </si>
  <si>
    <t>CAP CER 0.1UF 100V X5R 0402</t>
  </si>
  <si>
    <t>CAP CER 10UF 10V X5R 0402</t>
  </si>
  <si>
    <t>CAP CER 2.2UF 25V X5R 0805</t>
  </si>
  <si>
    <t>CAP CER 1UF 50V X5R 0402</t>
  </si>
  <si>
    <t>CAP CER 0.047UF 25V X7R 0402</t>
  </si>
  <si>
    <t>CAP CER 100UF 16V X5R 1210</t>
  </si>
  <si>
    <t>CAP CER 22UF 25V X5R 0805</t>
  </si>
  <si>
    <t>CAP CER 10000PF 50V X7R 0402</t>
  </si>
  <si>
    <t>CAP CER 22PF 50V C0G/NPO 0402</t>
  </si>
  <si>
    <t>CAP CER 1000PF 25V X5R 0201</t>
  </si>
  <si>
    <t>CAP CER 330PF 50V C0G/NPO 0603</t>
  </si>
  <si>
    <t>CAP CER 2.7PF 50V C0G/NPO 0201</t>
  </si>
  <si>
    <t>CAP CER 4.7PF 50V C0G/NPO 0201</t>
  </si>
  <si>
    <t>TVS DIODE 5VWM 6.3VC DSN0603-2</t>
  </si>
  <si>
    <t>DIODE SCHOTTKY 30V 100MA SOT323</t>
  </si>
  <si>
    <t>Schottky Barrier Diode SK36, DO-214AB, 3A/60V</t>
  </si>
  <si>
    <t>DIODE GEN PURP 75V 150MA SOD323</t>
  </si>
  <si>
    <t>15V 19A 3.3V 4V Bidirectional SOD-323 ESD Protection Devices ROHS</t>
  </si>
  <si>
    <t>DIODE ZENER 3.3V 200MW SOD323F</t>
  </si>
  <si>
    <t>16A 20V 7V 5V@Max Unidirectional SOT-23 TVS ROHS</t>
  </si>
  <si>
    <t>PTC RESET FUSE 6V 3A 1206</t>
  </si>
  <si>
    <t>FERRITE BEAD 120 OHM 1206 1LN</t>
  </si>
  <si>
    <t>250mA 1 16 Female Type-C SMD USB Connectors ROHS</t>
  </si>
  <si>
    <t>1x3P 18A -40℃~+105℃ 250V Black 12~30 Straight pin 5.08mm 2.5 1 3 Plugin,P=5.08mm Screw terminal ROHS</t>
  </si>
  <si>
    <t>RJ11 RJReceptacle No 1 Plugin Ethernet Connectors/Modular Connectors (RJ45 RJ11) ROHS</t>
  </si>
  <si>
    <t>1x2P 1 1.25mm Male pin 2 -40℃~+85℃ Surface Mount SMD,P=1.25mm Wire To Board / Wire To Wire Connector ROHS</t>
  </si>
  <si>
    <t>Clamshell -25℃~+85℃ 18P Bottom Contact Surface Mount 0.5mm SMD,P=0.5mm FFC/FPC Connectors ROHS</t>
  </si>
  <si>
    <t>1x6P SH 1 1mm 6 SMD,P=1mm Wire To Board / Wire To Wire Connector ROHS</t>
  </si>
  <si>
    <t>Pogo Pad 2.5mm 4 Pin</t>
  </si>
  <si>
    <t>0.8mm mPCI-E Surface Mount 52 SMD,P=0.8mm Card Edge Connectors ROHS</t>
  </si>
  <si>
    <t>RELAY GEN PURPOSE SPDT 3A 3V</t>
  </si>
  <si>
    <t>FIXED IND 3.3UH 4.2A 35.1MOHM SM</t>
  </si>
  <si>
    <t>FIXED IND 2.2UH 3.1A 29 MOHM SMD</t>
  </si>
  <si>
    <t>2.7A 6.8uH ±20% 50mΩ SMD Power Inductors ROHS</t>
  </si>
  <si>
    <t>2nH ±0.3nH 0603 Inductors</t>
  </si>
  <si>
    <t>700mA 1.6nH ±10% 40mΩ 0603 Inductors (SMD) ROHS</t>
  </si>
  <si>
    <t>Red 632nm LED Indication - Discrete 2.05V 0603 (1608 Metric)</t>
  </si>
  <si>
    <t>BUZZER PIEZO 1.5V 9X9MM SMD</t>
  </si>
  <si>
    <t>Test Point ON</t>
  </si>
  <si>
    <t>30V 4.6A 38mΩ@10V,4.3A 1.3W 1V@250uA 90pF@15V P Channel 1.25nF@15V 24.8nC@10V +150℃@(Tj) SOT-23-3L MOSFETs ROHS</t>
  </si>
  <si>
    <t>40V 100mW 100@10mA,1V 200mA 300MHz 300mV@50mA,5mA NPN -55℃~+150℃@(Tj) SOT-723 Bipolar Transistors - BJT ROHS</t>
  </si>
  <si>
    <t>TRANS NPN 40V 0.6A SMD SOT23-3</t>
  </si>
  <si>
    <t>RES SMD 5.1 KOHM 1% 1/5W 0402</t>
  </si>
  <si>
    <t>RES 0 OHM JUMPER 1/16W 0402</t>
  </si>
  <si>
    <t>RES 1M OHM 0.1% 1/16W 0402</t>
  </si>
  <si>
    <t>RES SMD 100K OHM 0.1% 1/10W 0603</t>
  </si>
  <si>
    <t>RES 232K OHM 0.1% 1/16W 0402</t>
  </si>
  <si>
    <t>RES 0.02 OHM 1% 1W 1206</t>
  </si>
  <si>
    <t>RES 43K OHM 1% 1/16W 0402</t>
  </si>
  <si>
    <t>RES SMD 15K OHM 0.1% 1/16W 0402</t>
  </si>
  <si>
    <t>RES SMD 10K OHM 1% 1/20W 0201</t>
  </si>
  <si>
    <t>RES 1K OHM 1% 1/20W 0201</t>
  </si>
  <si>
    <t>RES 10 OHM 1% 1/8W 0805</t>
  </si>
  <si>
    <t>RES 4.02K OHM 1% 1/16W 0402</t>
  </si>
  <si>
    <t>RES 0.01 OHM 1% 1W 1206</t>
  </si>
  <si>
    <t>RES 39K OHM 1% 1/16W 0402</t>
  </si>
  <si>
    <t>100mW Thick Film Resistors ±1% 5.23kΩ 0603 Chip Resistor - Surface Mount ROHS</t>
  </si>
  <si>
    <t>RES 30.1K OHM 1% 1/10W 0603</t>
  </si>
  <si>
    <t>RES 1.5K OHM 1% 1/16W 0402</t>
  </si>
  <si>
    <t>Res Thin Film 0603 680K Ohm 0.1% 1/10W ±50ppm/°C Molded SMD SMD Paper T/R</t>
  </si>
  <si>
    <t>RES 470 OHM 5% 1/20W 0201</t>
  </si>
  <si>
    <t>RES 499 OHM 1% 1/16W 0402</t>
  </si>
  <si>
    <t>RES 4.7K OHM 1% 1/16W 0402</t>
  </si>
  <si>
    <t>RES 2 OHM 5% 1/2W 1210</t>
  </si>
  <si>
    <t>RES 0 OHM JUMPER 1/8W 0805</t>
  </si>
  <si>
    <t>50mA Lying SPST 24V Plugin Tactile Switches ROHS</t>
  </si>
  <si>
    <t>30V 5A 2.3W 30mΩ@4A,8V null WSON-6 MOSFETs ROHS</t>
  </si>
  <si>
    <t>MOSFET P-CH 20V 48A 6SON</t>
  </si>
  <si>
    <t>IC BATT CHG LI-ION 1-3CEL 24VQFN</t>
  </si>
  <si>
    <t>IC REG BCK BST ADJ 4A 14WDFN</t>
  </si>
  <si>
    <t>IC REG BUCK 3.3V 2A TSOT26</t>
  </si>
  <si>
    <t>IC FLASH 64M SPI 133MHZ 8SOIC</t>
  </si>
  <si>
    <t>SMD IC ESP32-S3R8, DUAL-CORE MCU</t>
  </si>
  <si>
    <t>IC AUTHENTICATION CHIP 8SOIC</t>
  </si>
  <si>
    <t>MOSFET P-CH 20V 3.6A 3LGA</t>
  </si>
  <si>
    <t>DFN-6-EP(3x3) Temperature and Humidity Sensor ROHS</t>
  </si>
  <si>
    <t>IC XPNDR 1.7MHZ I2C 28SSOP</t>
  </si>
  <si>
    <t>Active Low 1 VSOF-5 Monitors &amp; Reset Circuits ROHS</t>
  </si>
  <si>
    <t>SENSOR RH PRESSURE TEMP VOC</t>
  </si>
  <si>
    <t>40MHz SMD Crystal Resonator 15pF SMD3225-4P Crystals ROHS</t>
  </si>
  <si>
    <t>Footprint</t>
  </si>
  <si>
    <t>ANT*</t>
  </si>
  <si>
    <t>Cap-0603</t>
  </si>
  <si>
    <t>Cap-0402</t>
  </si>
  <si>
    <t>Cap-0805</t>
  </si>
  <si>
    <t>Cap-1210</t>
  </si>
  <si>
    <t>CAP-0201</t>
  </si>
  <si>
    <t>DSN0603-2</t>
  </si>
  <si>
    <t>SOT_323</t>
  </si>
  <si>
    <t>SMA</t>
  </si>
  <si>
    <t>SOD-323</t>
  </si>
  <si>
    <t>SOD323F</t>
  </si>
  <si>
    <t>Sot-23</t>
  </si>
  <si>
    <t>Fuse 1206 (3216 Metric)</t>
  </si>
  <si>
    <t>IND-1206</t>
  </si>
  <si>
    <t>TYPE-C-31-M-12_</t>
  </si>
  <si>
    <t>DB128L-5.08-3P-BK-S</t>
  </si>
  <si>
    <t>DS1133-01-S60BPS</t>
  </si>
  <si>
    <t>1.25-2PWB</t>
  </si>
  <si>
    <t>F0502-B-18-15T-R</t>
  </si>
  <si>
    <t>Voltlink Target</t>
  </si>
  <si>
    <t>Pogo 4 Pin</t>
  </si>
  <si>
    <t>91304-99-052R2</t>
  </si>
  <si>
    <t>J102K1CS33VDC.20</t>
  </si>
  <si>
    <t>VLS5045EX-3R3N</t>
  </si>
  <si>
    <t>NRS5024T2R2NMGJ</t>
  </si>
  <si>
    <t>LVC505040-6R8M-N_</t>
  </si>
  <si>
    <t>IND-0603 (1608 Metric)</t>
  </si>
  <si>
    <t>LED-0603</t>
  </si>
  <si>
    <t>PKMCS0909E4000-R1</t>
  </si>
  <si>
    <t>Test-point</t>
  </si>
  <si>
    <t>SOT-23-3L_</t>
  </si>
  <si>
    <t>SOT-723</t>
  </si>
  <si>
    <t>SOT-23</t>
  </si>
  <si>
    <t>Res-0402</t>
  </si>
  <si>
    <t>Res-0603</t>
  </si>
  <si>
    <t>Res-1206</t>
  </si>
  <si>
    <t>Res-0201</t>
  </si>
  <si>
    <t>RES-0805</t>
  </si>
  <si>
    <t>Res_1210</t>
  </si>
  <si>
    <t>Res-0805</t>
  </si>
  <si>
    <t>1825027-8</t>
  </si>
  <si>
    <t>CSD17313Q2</t>
  </si>
  <si>
    <t>CSD25310Q2</t>
  </si>
  <si>
    <t>24-VQFN (5.5x3.5)</t>
  </si>
  <si>
    <t>DFN-14(3x4)</t>
  </si>
  <si>
    <t>TSOT-23-6</t>
  </si>
  <si>
    <t>SOIC-8 (208 mil)</t>
  </si>
  <si>
    <t>56-QFN (7x7)</t>
  </si>
  <si>
    <t>SOIC-8</t>
  </si>
  <si>
    <t>PicoStar-3</t>
  </si>
  <si>
    <t>DFN-6-EP(3x3)</t>
  </si>
  <si>
    <t>SSOP-28-208mil</t>
  </si>
  <si>
    <t>VSOF-5</t>
  </si>
  <si>
    <t>BME680</t>
  </si>
  <si>
    <t>X322540MPB4SI_</t>
  </si>
  <si>
    <t>Manufacturer Part Number</t>
  </si>
  <si>
    <t>CC0603JRNPO9BN472</t>
  </si>
  <si>
    <t>GRM155R62A104KE14D</t>
  </si>
  <si>
    <t>CL05A106MP5NUNC</t>
  </si>
  <si>
    <t>CC0805KKX5R8BB225</t>
  </si>
  <si>
    <t>UMK105CBJ105MV-F</t>
  </si>
  <si>
    <t>GRM155R71E473KA88D</t>
  </si>
  <si>
    <t>EMK325ABJ107MM-P</t>
  </si>
  <si>
    <t>CC0805MKX5R8BB226</t>
  </si>
  <si>
    <t>CC0402KRX7R9BB103</t>
  </si>
  <si>
    <t>CC0402JRNPO9BN220</t>
  </si>
  <si>
    <t>CC0201KRX5R8BB102</t>
  </si>
  <si>
    <t>CC0603JRNPO9BN331</t>
  </si>
  <si>
    <t>CC0201CRNPO9BN2R7</t>
  </si>
  <si>
    <t>CC0201BRNPO9BN4R7</t>
  </si>
  <si>
    <t>PESD5V0H1BSFYL</t>
  </si>
  <si>
    <t>BAT54CWT1G</t>
  </si>
  <si>
    <t>SS36</t>
  </si>
  <si>
    <t>1N4148WS-7-F</t>
  </si>
  <si>
    <t>UDD32C03L01</t>
  </si>
  <si>
    <t>MM3Z3V3B</t>
  </si>
  <si>
    <t>ESD5302F-3/TR</t>
  </si>
  <si>
    <t>1206L300SLTHYR</t>
  </si>
  <si>
    <t>BLM31PG121SN1L</t>
  </si>
  <si>
    <t>TYPE-C-31-M-12</t>
  </si>
  <si>
    <t>C145963</t>
  </si>
  <si>
    <t>POGO Connector 4 Pin</t>
  </si>
  <si>
    <t>LVC505040-6R8M-N</t>
  </si>
  <si>
    <t>SDCL1608C2N0STDF</t>
  </si>
  <si>
    <t>FHW0603UC1N6KST</t>
  </si>
  <si>
    <t>19-21/R7C-AK1L2BY/3T</t>
  </si>
  <si>
    <t>WPM3401-3/TR</t>
  </si>
  <si>
    <t>MMBT3904M</t>
  </si>
  <si>
    <t>MMBT2222A-7-F</t>
  </si>
  <si>
    <t>ERJ-PA2F5101X</t>
  </si>
  <si>
    <t>RC0402FR-070RL</t>
  </si>
  <si>
    <t>MCS0402MD1004BE000</t>
  </si>
  <si>
    <t>RT0603BRD07100KL</t>
  </si>
  <si>
    <t>RT0402BRD07232KL</t>
  </si>
  <si>
    <t>PA1206FRF470R02L</t>
  </si>
  <si>
    <t>RC0402FR-0743KL</t>
  </si>
  <si>
    <t>RT0402BRD0715KL</t>
  </si>
  <si>
    <t>RC0201FR-0710KL</t>
  </si>
  <si>
    <t>RC0201FR-071KP</t>
  </si>
  <si>
    <t>TNPW080510R0FEEA</t>
  </si>
  <si>
    <t>RC0402FR-074K02L</t>
  </si>
  <si>
    <t>PE1206FRM470R01L</t>
  </si>
  <si>
    <t>RC0402FR-0739KL</t>
  </si>
  <si>
    <t>FRC0603F5231TS</t>
  </si>
  <si>
    <t>RC0603FR-0730K1L</t>
  </si>
  <si>
    <t>RC0402FR-071K5L</t>
  </si>
  <si>
    <t>RT0603BRE07680KL</t>
  </si>
  <si>
    <t>RC0201JR-07470RL</t>
  </si>
  <si>
    <t>RC0402FR-07499RL</t>
  </si>
  <si>
    <t>RC0402FR-074K7L</t>
  </si>
  <si>
    <t>RC1210JR-072RL</t>
  </si>
  <si>
    <t>RC0805FR-070RL</t>
  </si>
  <si>
    <t>BQ24133RGYR</t>
  </si>
  <si>
    <t>RT6154AGQW</t>
  </si>
  <si>
    <t>AP63203WU-7</t>
  </si>
  <si>
    <t>W25Q64JVSSIQ TR</t>
  </si>
  <si>
    <t>ESP32-S3R8</t>
  </si>
  <si>
    <t>ATECC608B-SSHDA-B</t>
  </si>
  <si>
    <t>CSD25501F3</t>
  </si>
  <si>
    <t>HTU21D</t>
  </si>
  <si>
    <t>MCP23017T-E/SS</t>
  </si>
  <si>
    <t>BD4830FVE-TR</t>
  </si>
  <si>
    <t>X322540MPB4SI</t>
  </si>
  <si>
    <t>Manufacturer</t>
  </si>
  <si>
    <t>Yageo</t>
  </si>
  <si>
    <t>Murata</t>
  </si>
  <si>
    <t>Samsung</t>
  </si>
  <si>
    <t>Taiyo Yuden</t>
  </si>
  <si>
    <t>Nexperia</t>
  </si>
  <si>
    <t>ON Semiconductor / Fairchild</t>
  </si>
  <si>
    <t>Diodes</t>
  </si>
  <si>
    <t>Brightking</t>
  </si>
  <si>
    <t>WILLSEMI</t>
  </si>
  <si>
    <t>Littelfuse</t>
  </si>
  <si>
    <t>Korean Hroparts Elec</t>
  </si>
  <si>
    <t>DIBO</t>
  </si>
  <si>
    <t>CONNFLY Elec</t>
  </si>
  <si>
    <t>DEALON</t>
  </si>
  <si>
    <t>XFCN</t>
  </si>
  <si>
    <t>BOOMELE</t>
  </si>
  <si>
    <t>UMAX</t>
  </si>
  <si>
    <t>CIT Relay &amp; Switch</t>
  </si>
  <si>
    <t>TDK</t>
  </si>
  <si>
    <t>Chlisin Elec</t>
  </si>
  <si>
    <t>Sunlord</t>
  </si>
  <si>
    <t>FH</t>
  </si>
  <si>
    <t>Everlight Elec</t>
  </si>
  <si>
    <t>TECH PUBLIC</t>
  </si>
  <si>
    <t>Panasonic</t>
  </si>
  <si>
    <t>Vishay BCcomponents</t>
  </si>
  <si>
    <t>Vishay</t>
  </si>
  <si>
    <t>FOJAN</t>
  </si>
  <si>
    <t>TE Connectivity</t>
  </si>
  <si>
    <t>Texas Instruments</t>
  </si>
  <si>
    <t>Richtek</t>
  </si>
  <si>
    <t>Winbond</t>
  </si>
  <si>
    <t>Espressif Systems</t>
  </si>
  <si>
    <t>Microchip</t>
  </si>
  <si>
    <t>Rohm</t>
  </si>
  <si>
    <t>Bosch Sensortec</t>
  </si>
  <si>
    <t>Yangxing Tech</t>
  </si>
  <si>
    <t>Antenna</t>
  </si>
  <si>
    <t>4.7nF</t>
  </si>
  <si>
    <t>0.1uf</t>
  </si>
  <si>
    <t>10uF</t>
  </si>
  <si>
    <t>2.2uF</t>
  </si>
  <si>
    <t>1uF</t>
  </si>
  <si>
    <t>47nF</t>
  </si>
  <si>
    <t>100uF</t>
  </si>
  <si>
    <t>22uF</t>
  </si>
  <si>
    <t>10nF</t>
  </si>
  <si>
    <t>22PF</t>
  </si>
  <si>
    <t>1nF</t>
  </si>
  <si>
    <t>330pF</t>
  </si>
  <si>
    <t>2.7pF</t>
  </si>
  <si>
    <t>4.7pF</t>
  </si>
  <si>
    <t>3.3uH</t>
  </si>
  <si>
    <t>2.2uH</t>
  </si>
  <si>
    <t>6.8uH</t>
  </si>
  <si>
    <t>2nH</t>
  </si>
  <si>
    <t>1.6nH</t>
  </si>
  <si>
    <t>TEST POINT</t>
  </si>
  <si>
    <t>5.1K</t>
  </si>
  <si>
    <t>0R</t>
  </si>
  <si>
    <t>1MR</t>
  </si>
  <si>
    <t>100K</t>
  </si>
  <si>
    <t>232k</t>
  </si>
  <si>
    <t>20mR</t>
  </si>
  <si>
    <t>43k</t>
  </si>
  <si>
    <t>15K</t>
  </si>
  <si>
    <t>10K</t>
  </si>
  <si>
    <t>1K</t>
  </si>
  <si>
    <t>10R</t>
  </si>
  <si>
    <t>4.02K</t>
  </si>
  <si>
    <t>10mR</t>
  </si>
  <si>
    <t>39K</t>
  </si>
  <si>
    <t>5.23K</t>
  </si>
  <si>
    <t>30.1K</t>
  </si>
  <si>
    <t>1.5K</t>
  </si>
  <si>
    <t>680K</t>
  </si>
  <si>
    <t>470R</t>
  </si>
  <si>
    <t>499R</t>
  </si>
  <si>
    <t>4.7K</t>
  </si>
  <si>
    <t>2R</t>
  </si>
  <si>
    <t>40MHz</t>
  </si>
  <si>
    <t>Quantity</t>
  </si>
  <si>
    <t>Test Point</t>
  </si>
  <si>
    <t>Value</t>
  </si>
  <si>
    <t>Quantity (5 Boards)</t>
  </si>
  <si>
    <t>Remarks</t>
  </si>
  <si>
    <t>Remote_Sensor_Unit</t>
  </si>
  <si>
    <t>Peripheral</t>
  </si>
  <si>
    <t>-</t>
  </si>
  <si>
    <t>5pcs 504050 JST 1.25mm 2pin 3.7V 1500mAh Rechargeable battery lipo Lithium polymer for MP3 GPS DVD bluetooth camera speaker PSP</t>
  </si>
  <si>
    <t>Battery</t>
  </si>
  <si>
    <t>Bill of Materials for Project [Remote_Sensor_Unit]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</si>
</sst>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4"/>
  <sheetViews>
    <sheetView tabSelected="1" topLeftCell="A76" workbookViewId="0">
      <selection activeCell="F3" sqref="F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8.7109375" bestFit="1" customWidth="1"/>
    <col min="11" max="12" width="29.42578125" customWidth="1"/>
    <col min="13" max="13" width="10.5703125" bestFit="1" customWidth="1"/>
    <col min="14" max="14" width="25.28515625" bestFit="1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61"/>
      <c r="J1" s="61"/>
      <c r="K1" s="61"/>
      <c r="L1" s="61"/>
    </row>
    <row r="2" spans="1:12" ht="32.25" thickBot="1" x14ac:dyDescent="0.3">
      <c r="A2" s="1"/>
      <c r="B2" s="20"/>
      <c r="C2" s="43"/>
      <c r="D2" s="10" t="s">
        <v>0</v>
      </c>
      <c r="E2" s="10"/>
      <c r="F2" s="52" t="s">
        <v>411</v>
      </c>
      <c r="G2" s="11"/>
      <c r="H2" s="3"/>
      <c r="I2" s="3"/>
      <c r="J2" s="3"/>
      <c r="K2" s="3"/>
      <c r="L2" s="40"/>
    </row>
    <row r="3" spans="1:12" x14ac:dyDescent="0.25">
      <c r="A3" s="1"/>
      <c r="B3" s="21"/>
      <c r="C3" s="44"/>
      <c r="D3" s="12" t="s">
        <v>1</v>
      </c>
      <c r="E3" s="12"/>
      <c r="F3" s="53" t="s">
        <v>406</v>
      </c>
      <c r="G3" s="12"/>
      <c r="H3" s="4"/>
      <c r="I3" s="4"/>
      <c r="J3" s="4"/>
      <c r="K3" s="4"/>
      <c r="L3" s="62"/>
    </row>
    <row r="4" spans="1:12" x14ac:dyDescent="0.25">
      <c r="A4" s="1"/>
      <c r="B4" s="21"/>
      <c r="C4" s="44"/>
      <c r="D4" s="12" t="s">
        <v>2</v>
      </c>
      <c r="E4" s="12"/>
      <c r="F4" s="54" t="s">
        <v>406</v>
      </c>
      <c r="G4" s="13"/>
      <c r="H4" s="6"/>
      <c r="I4" s="6"/>
      <c r="J4" s="6"/>
      <c r="K4" s="6"/>
      <c r="L4" s="63"/>
    </row>
    <row r="5" spans="1:12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63"/>
    </row>
    <row r="6" spans="1:12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63"/>
    </row>
    <row r="7" spans="1:12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63"/>
    </row>
    <row r="8" spans="1:12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63"/>
    </row>
    <row r="9" spans="1:12" ht="15.75" thickBot="1" x14ac:dyDescent="0.3">
      <c r="A9" s="1"/>
      <c r="B9" s="29" t="s">
        <v>4</v>
      </c>
      <c r="C9" s="29" t="s">
        <v>6</v>
      </c>
      <c r="D9" s="29" t="s">
        <v>30</v>
      </c>
      <c r="E9" s="30" t="s">
        <v>113</v>
      </c>
      <c r="F9" s="29" t="s">
        <v>195</v>
      </c>
      <c r="G9" s="30" t="s">
        <v>251</v>
      </c>
      <c r="H9" s="29" t="s">
        <v>319</v>
      </c>
      <c r="I9" s="30" t="s">
        <v>403</v>
      </c>
      <c r="J9" s="29" t="s">
        <v>401</v>
      </c>
      <c r="K9" s="51" t="s">
        <v>404</v>
      </c>
      <c r="L9" s="29" t="s">
        <v>405</v>
      </c>
    </row>
    <row r="10" spans="1:12" ht="15.75" thickBot="1" x14ac:dyDescent="0.3">
      <c r="A10" s="1"/>
      <c r="B10" s="50">
        <f>ROW(B10) - ROW($B$9)</f>
        <v>1</v>
      </c>
      <c r="C10" s="56" t="s">
        <v>357</v>
      </c>
      <c r="D10" s="64" t="s">
        <v>31</v>
      </c>
      <c r="E10" s="65"/>
      <c r="F10" s="64" t="s">
        <v>196</v>
      </c>
      <c r="G10" s="65"/>
      <c r="H10" s="64"/>
      <c r="I10" s="65" t="s">
        <v>408</v>
      </c>
      <c r="J10" s="64">
        <v>1</v>
      </c>
      <c r="K10" s="65">
        <f>J10*5</f>
        <v>5</v>
      </c>
      <c r="L10" s="64"/>
    </row>
    <row r="11" spans="1:12" ht="15.75" thickBot="1" x14ac:dyDescent="0.3">
      <c r="A11" s="1"/>
      <c r="B11" s="50">
        <f t="shared" ref="B11:B91" si="0">ROW(B11) - ROW($B$9)</f>
        <v>2</v>
      </c>
      <c r="C11" s="57" t="s">
        <v>7</v>
      </c>
      <c r="D11" s="38" t="s">
        <v>32</v>
      </c>
      <c r="E11" s="39" t="s">
        <v>114</v>
      </c>
      <c r="F11" s="38" t="s">
        <v>197</v>
      </c>
      <c r="G11" s="39" t="s">
        <v>252</v>
      </c>
      <c r="H11" s="38" t="s">
        <v>320</v>
      </c>
      <c r="I11" s="39" t="s">
        <v>358</v>
      </c>
      <c r="J11" s="38">
        <v>1</v>
      </c>
      <c r="K11" s="39">
        <f t="shared" ref="K11" si="1">J11*5</f>
        <v>5</v>
      </c>
      <c r="L11" s="38"/>
    </row>
    <row r="12" spans="1:12" ht="36.75" thickBot="1" x14ac:dyDescent="0.3">
      <c r="A12" s="1"/>
      <c r="B12" s="50">
        <f>ROW(B12) - ROW($B$9)</f>
        <v>3</v>
      </c>
      <c r="C12" s="56" t="s">
        <v>7</v>
      </c>
      <c r="D12" s="36" t="s">
        <v>33</v>
      </c>
      <c r="E12" s="37" t="s">
        <v>115</v>
      </c>
      <c r="F12" s="36" t="s">
        <v>198</v>
      </c>
      <c r="G12" s="37" t="s">
        <v>253</v>
      </c>
      <c r="H12" s="36" t="s">
        <v>321</v>
      </c>
      <c r="I12" s="37" t="s">
        <v>359</v>
      </c>
      <c r="J12" s="36">
        <v>22</v>
      </c>
      <c r="K12" s="37">
        <f>J12*5</f>
        <v>110</v>
      </c>
      <c r="L12" s="36"/>
    </row>
    <row r="13" spans="1:12" ht="15.75" thickBot="1" x14ac:dyDescent="0.3">
      <c r="A13" s="1"/>
      <c r="B13" s="50">
        <f t="shared" si="0"/>
        <v>4</v>
      </c>
      <c r="C13" s="57" t="s">
        <v>7</v>
      </c>
      <c r="D13" s="38" t="s">
        <v>34</v>
      </c>
      <c r="E13" s="39" t="s">
        <v>116</v>
      </c>
      <c r="F13" s="38" t="s">
        <v>198</v>
      </c>
      <c r="G13" s="39" t="s">
        <v>254</v>
      </c>
      <c r="H13" s="38" t="s">
        <v>322</v>
      </c>
      <c r="I13" s="39" t="s">
        <v>360</v>
      </c>
      <c r="J13" s="38">
        <v>7</v>
      </c>
      <c r="K13" s="39">
        <f t="shared" ref="K13" si="2">J13*5</f>
        <v>35</v>
      </c>
      <c r="L13" s="38"/>
    </row>
    <row r="14" spans="1:12" ht="15.75" thickBot="1" x14ac:dyDescent="0.3">
      <c r="A14" s="1"/>
      <c r="B14" s="50">
        <f>ROW(B14) - ROW($B$9)</f>
        <v>5</v>
      </c>
      <c r="C14" s="57" t="s">
        <v>7</v>
      </c>
      <c r="D14" s="36" t="s">
        <v>35</v>
      </c>
      <c r="E14" s="37" t="s">
        <v>117</v>
      </c>
      <c r="F14" s="36" t="s">
        <v>199</v>
      </c>
      <c r="G14" s="37" t="s">
        <v>255</v>
      </c>
      <c r="H14" s="36" t="s">
        <v>320</v>
      </c>
      <c r="I14" s="37" t="s">
        <v>361</v>
      </c>
      <c r="J14" s="36">
        <v>1</v>
      </c>
      <c r="K14" s="37">
        <f>J14*5</f>
        <v>5</v>
      </c>
      <c r="L14" s="36"/>
    </row>
    <row r="15" spans="1:12" ht="15.75" thickBot="1" x14ac:dyDescent="0.3">
      <c r="A15" s="1"/>
      <c r="B15" s="50">
        <f t="shared" si="0"/>
        <v>6</v>
      </c>
      <c r="C15" s="57" t="s">
        <v>7</v>
      </c>
      <c r="D15" s="38" t="s">
        <v>36</v>
      </c>
      <c r="E15" s="39" t="s">
        <v>118</v>
      </c>
      <c r="F15" s="38" t="s">
        <v>198</v>
      </c>
      <c r="G15" s="39" t="s">
        <v>256</v>
      </c>
      <c r="H15" s="38" t="s">
        <v>323</v>
      </c>
      <c r="I15" s="39" t="s">
        <v>362</v>
      </c>
      <c r="J15" s="38">
        <v>8</v>
      </c>
      <c r="K15" s="39">
        <f t="shared" ref="K15" si="3">J15*5</f>
        <v>40</v>
      </c>
      <c r="L15" s="38"/>
    </row>
    <row r="16" spans="1:12" ht="15.75" thickBot="1" x14ac:dyDescent="0.3">
      <c r="A16" s="1"/>
      <c r="B16" s="50">
        <f>ROW(B16) - ROW($B$9)</f>
        <v>7</v>
      </c>
      <c r="C16" s="56" t="s">
        <v>7</v>
      </c>
      <c r="D16" s="36" t="s">
        <v>37</v>
      </c>
      <c r="E16" s="37" t="s">
        <v>119</v>
      </c>
      <c r="F16" s="36" t="s">
        <v>198</v>
      </c>
      <c r="G16" s="37" t="s">
        <v>257</v>
      </c>
      <c r="H16" s="36" t="s">
        <v>321</v>
      </c>
      <c r="I16" s="37" t="s">
        <v>363</v>
      </c>
      <c r="J16" s="36">
        <v>1</v>
      </c>
      <c r="K16" s="37">
        <f>J16*5</f>
        <v>5</v>
      </c>
      <c r="L16" s="36"/>
    </row>
    <row r="17" spans="1:12" ht="15.75" thickBot="1" x14ac:dyDescent="0.3">
      <c r="A17" s="1"/>
      <c r="B17" s="50">
        <f t="shared" si="0"/>
        <v>8</v>
      </c>
      <c r="C17" s="57" t="s">
        <v>7</v>
      </c>
      <c r="D17" s="38" t="s">
        <v>38</v>
      </c>
      <c r="E17" s="39" t="s">
        <v>120</v>
      </c>
      <c r="F17" s="38" t="s">
        <v>200</v>
      </c>
      <c r="G17" s="39" t="s">
        <v>258</v>
      </c>
      <c r="H17" s="38" t="s">
        <v>323</v>
      </c>
      <c r="I17" s="39" t="s">
        <v>364</v>
      </c>
      <c r="J17" s="38">
        <v>1</v>
      </c>
      <c r="K17" s="39">
        <f t="shared" ref="K17" si="4">J17*5</f>
        <v>5</v>
      </c>
      <c r="L17" s="38"/>
    </row>
    <row r="18" spans="1:12" ht="15.75" thickBot="1" x14ac:dyDescent="0.3">
      <c r="A18" s="1"/>
      <c r="B18" s="50">
        <f>ROW(B18) - ROW($B$9)</f>
        <v>9</v>
      </c>
      <c r="C18" s="56" t="s">
        <v>7</v>
      </c>
      <c r="D18" s="36" t="s">
        <v>39</v>
      </c>
      <c r="E18" s="37" t="s">
        <v>121</v>
      </c>
      <c r="F18" s="36" t="s">
        <v>199</v>
      </c>
      <c r="G18" s="37" t="s">
        <v>259</v>
      </c>
      <c r="H18" s="36" t="s">
        <v>320</v>
      </c>
      <c r="I18" s="37" t="s">
        <v>365</v>
      </c>
      <c r="J18" s="36">
        <v>3</v>
      </c>
      <c r="K18" s="37">
        <f>J18*5</f>
        <v>15</v>
      </c>
      <c r="L18" s="36"/>
    </row>
    <row r="19" spans="1:12" ht="15.75" thickBot="1" x14ac:dyDescent="0.3">
      <c r="A19" s="1"/>
      <c r="B19" s="50">
        <f t="shared" si="0"/>
        <v>10</v>
      </c>
      <c r="C19" s="57" t="s">
        <v>7</v>
      </c>
      <c r="D19" s="38" t="s">
        <v>40</v>
      </c>
      <c r="E19" s="39" t="s">
        <v>122</v>
      </c>
      <c r="F19" s="38" t="s">
        <v>198</v>
      </c>
      <c r="G19" s="39" t="s">
        <v>260</v>
      </c>
      <c r="H19" s="38" t="s">
        <v>320</v>
      </c>
      <c r="I19" s="39" t="s">
        <v>366</v>
      </c>
      <c r="J19" s="38">
        <v>1</v>
      </c>
      <c r="K19" s="39">
        <f t="shared" ref="K19" si="5">J19*5</f>
        <v>5</v>
      </c>
      <c r="L19" s="38"/>
    </row>
    <row r="20" spans="1:12" ht="15.75" thickBot="1" x14ac:dyDescent="0.3">
      <c r="A20" s="1"/>
      <c r="B20" s="50">
        <f>ROW(B20) - ROW($B$9)</f>
        <v>11</v>
      </c>
      <c r="C20" s="56" t="s">
        <v>7</v>
      </c>
      <c r="D20" s="36" t="s">
        <v>41</v>
      </c>
      <c r="E20" s="37" t="s">
        <v>123</v>
      </c>
      <c r="F20" s="36" t="s">
        <v>198</v>
      </c>
      <c r="G20" s="37" t="s">
        <v>261</v>
      </c>
      <c r="H20" s="36" t="s">
        <v>320</v>
      </c>
      <c r="I20" s="37" t="s">
        <v>367</v>
      </c>
      <c r="J20" s="36">
        <v>2</v>
      </c>
      <c r="K20" s="37">
        <f>J20*5</f>
        <v>10</v>
      </c>
      <c r="L20" s="36"/>
    </row>
    <row r="21" spans="1:12" ht="15.75" thickBot="1" x14ac:dyDescent="0.3">
      <c r="A21" s="1"/>
      <c r="B21" s="50">
        <f t="shared" si="0"/>
        <v>12</v>
      </c>
      <c r="C21" s="56" t="s">
        <v>7</v>
      </c>
      <c r="D21" s="38" t="s">
        <v>42</v>
      </c>
      <c r="E21" s="39" t="s">
        <v>124</v>
      </c>
      <c r="F21" s="38" t="s">
        <v>201</v>
      </c>
      <c r="G21" s="39" t="s">
        <v>262</v>
      </c>
      <c r="H21" s="38" t="s">
        <v>320</v>
      </c>
      <c r="I21" s="39" t="s">
        <v>368</v>
      </c>
      <c r="J21" s="38">
        <v>1</v>
      </c>
      <c r="K21" s="39">
        <f t="shared" ref="K21" si="6">J21*5</f>
        <v>5</v>
      </c>
      <c r="L21" s="38"/>
    </row>
    <row r="22" spans="1:12" ht="15.75" thickBot="1" x14ac:dyDescent="0.3">
      <c r="A22" s="1"/>
      <c r="B22" s="50">
        <f>ROW(B22) - ROW($B$9)</f>
        <v>13</v>
      </c>
      <c r="C22" s="56" t="s">
        <v>7</v>
      </c>
      <c r="D22" s="36" t="s">
        <v>43</v>
      </c>
      <c r="E22" s="37" t="s">
        <v>125</v>
      </c>
      <c r="F22" s="36" t="s">
        <v>197</v>
      </c>
      <c r="G22" s="37" t="s">
        <v>263</v>
      </c>
      <c r="H22" s="36" t="s">
        <v>320</v>
      </c>
      <c r="I22" s="37" t="s">
        <v>369</v>
      </c>
      <c r="J22" s="36">
        <v>1</v>
      </c>
      <c r="K22" s="37">
        <f>J22*5</f>
        <v>5</v>
      </c>
      <c r="L22" s="36"/>
    </row>
    <row r="23" spans="1:12" ht="15.75" thickBot="1" x14ac:dyDescent="0.3">
      <c r="A23" s="1"/>
      <c r="B23" s="50">
        <f t="shared" si="0"/>
        <v>14</v>
      </c>
      <c r="C23" s="57" t="s">
        <v>7</v>
      </c>
      <c r="D23" s="38" t="s">
        <v>44</v>
      </c>
      <c r="E23" s="39" t="s">
        <v>126</v>
      </c>
      <c r="F23" s="38" t="s">
        <v>201</v>
      </c>
      <c r="G23" s="39" t="s">
        <v>264</v>
      </c>
      <c r="H23" s="38" t="s">
        <v>320</v>
      </c>
      <c r="I23" s="39" t="s">
        <v>370</v>
      </c>
      <c r="J23" s="38">
        <v>1</v>
      </c>
      <c r="K23" s="39">
        <f t="shared" ref="K23" si="7">J23*5</f>
        <v>5</v>
      </c>
      <c r="L23" s="38"/>
    </row>
    <row r="24" spans="1:12" ht="15.75" thickBot="1" x14ac:dyDescent="0.3">
      <c r="A24" s="1"/>
      <c r="B24" s="50">
        <f>ROW(B24) - ROW($B$9)</f>
        <v>15</v>
      </c>
      <c r="C24" s="56" t="s">
        <v>7</v>
      </c>
      <c r="D24" s="36" t="s">
        <v>45</v>
      </c>
      <c r="E24" s="37" t="s">
        <v>127</v>
      </c>
      <c r="F24" s="36" t="s">
        <v>201</v>
      </c>
      <c r="G24" s="37" t="s">
        <v>265</v>
      </c>
      <c r="H24" s="36" t="s">
        <v>320</v>
      </c>
      <c r="I24" s="37" t="s">
        <v>371</v>
      </c>
      <c r="J24" s="36">
        <v>1</v>
      </c>
      <c r="K24" s="37">
        <f>J24*5</f>
        <v>5</v>
      </c>
      <c r="L24" s="36"/>
    </row>
    <row r="25" spans="1:12" ht="15.75" thickBot="1" x14ac:dyDescent="0.3">
      <c r="A25" s="1"/>
      <c r="B25" s="50">
        <f t="shared" si="0"/>
        <v>16</v>
      </c>
      <c r="C25" s="57" t="s">
        <v>8</v>
      </c>
      <c r="D25" s="38" t="s">
        <v>46</v>
      </c>
      <c r="E25" s="39" t="s">
        <v>128</v>
      </c>
      <c r="F25" s="38" t="s">
        <v>202</v>
      </c>
      <c r="G25" s="39" t="s">
        <v>266</v>
      </c>
      <c r="H25" s="38" t="s">
        <v>324</v>
      </c>
      <c r="I25" s="39" t="s">
        <v>408</v>
      </c>
      <c r="J25" s="38">
        <v>1</v>
      </c>
      <c r="K25" s="39">
        <f t="shared" ref="K25" si="8">J25*5</f>
        <v>5</v>
      </c>
      <c r="L25" s="38"/>
    </row>
    <row r="26" spans="1:12" ht="24.75" thickBot="1" x14ac:dyDescent="0.3">
      <c r="A26" s="1"/>
      <c r="B26" s="50">
        <f>ROW(B26) - ROW($B$9)</f>
        <v>17</v>
      </c>
      <c r="C26" s="56" t="s">
        <v>8</v>
      </c>
      <c r="D26" s="36" t="s">
        <v>47</v>
      </c>
      <c r="E26" s="37" t="s">
        <v>129</v>
      </c>
      <c r="F26" s="36" t="s">
        <v>203</v>
      </c>
      <c r="G26" s="37" t="s">
        <v>267</v>
      </c>
      <c r="H26" s="36" t="s">
        <v>325</v>
      </c>
      <c r="I26" s="39" t="s">
        <v>408</v>
      </c>
      <c r="J26" s="36">
        <v>1</v>
      </c>
      <c r="K26" s="37">
        <f>J26*5</f>
        <v>5</v>
      </c>
      <c r="L26" s="36"/>
    </row>
    <row r="27" spans="1:12" ht="24.75" thickBot="1" x14ac:dyDescent="0.3">
      <c r="A27" s="1"/>
      <c r="B27" s="50">
        <f t="shared" si="0"/>
        <v>18</v>
      </c>
      <c r="C27" s="57" t="s">
        <v>8</v>
      </c>
      <c r="D27" s="38" t="s">
        <v>48</v>
      </c>
      <c r="E27" s="39" t="s">
        <v>130</v>
      </c>
      <c r="F27" s="38" t="s">
        <v>204</v>
      </c>
      <c r="G27" s="39" t="s">
        <v>268</v>
      </c>
      <c r="H27" s="38" t="s">
        <v>325</v>
      </c>
      <c r="I27" s="39" t="s">
        <v>408</v>
      </c>
      <c r="J27" s="38">
        <v>1</v>
      </c>
      <c r="K27" s="39">
        <f t="shared" ref="K27" si="9">J27*5</f>
        <v>5</v>
      </c>
      <c r="L27" s="38"/>
    </row>
    <row r="28" spans="1:12" ht="15.75" thickBot="1" x14ac:dyDescent="0.3">
      <c r="A28" s="1"/>
      <c r="B28" s="50">
        <f>ROW(B28) - ROW($B$9)</f>
        <v>19</v>
      </c>
      <c r="C28" s="56" t="s">
        <v>8</v>
      </c>
      <c r="D28" s="36" t="s">
        <v>49</v>
      </c>
      <c r="E28" s="37" t="s">
        <v>131</v>
      </c>
      <c r="F28" s="36" t="s">
        <v>205</v>
      </c>
      <c r="G28" s="37" t="s">
        <v>269</v>
      </c>
      <c r="H28" s="36" t="s">
        <v>326</v>
      </c>
      <c r="I28" s="39" t="s">
        <v>408</v>
      </c>
      <c r="J28" s="36">
        <v>3</v>
      </c>
      <c r="K28" s="37">
        <f>J28*5</f>
        <v>15</v>
      </c>
      <c r="L28" s="36"/>
    </row>
    <row r="29" spans="1:12" ht="24.75" thickBot="1" x14ac:dyDescent="0.3">
      <c r="A29" s="1"/>
      <c r="B29" s="50">
        <f t="shared" si="0"/>
        <v>20</v>
      </c>
      <c r="C29" s="57" t="s">
        <v>9</v>
      </c>
      <c r="D29" s="38" t="s">
        <v>50</v>
      </c>
      <c r="E29" s="39" t="s">
        <v>132</v>
      </c>
      <c r="F29" s="38" t="s">
        <v>205</v>
      </c>
      <c r="G29" s="39" t="s">
        <v>270</v>
      </c>
      <c r="H29" s="38" t="s">
        <v>327</v>
      </c>
      <c r="I29" s="39" t="s">
        <v>408</v>
      </c>
      <c r="J29" s="38">
        <v>1</v>
      </c>
      <c r="K29" s="39">
        <f t="shared" ref="K29" si="10">J29*5</f>
        <v>5</v>
      </c>
      <c r="L29" s="38"/>
    </row>
    <row r="30" spans="1:12" ht="24.75" thickBot="1" x14ac:dyDescent="0.3">
      <c r="A30" s="1"/>
      <c r="B30" s="50">
        <f>ROW(B30) - ROW($B$9)</f>
        <v>21</v>
      </c>
      <c r="C30" s="56" t="s">
        <v>8</v>
      </c>
      <c r="D30" s="36" t="s">
        <v>51</v>
      </c>
      <c r="E30" s="37" t="s">
        <v>133</v>
      </c>
      <c r="F30" s="36" t="s">
        <v>206</v>
      </c>
      <c r="G30" s="37" t="s">
        <v>271</v>
      </c>
      <c r="H30" s="36" t="s">
        <v>325</v>
      </c>
      <c r="I30" s="39" t="s">
        <v>408</v>
      </c>
      <c r="J30" s="36">
        <v>1</v>
      </c>
      <c r="K30" s="37">
        <f>J30*5</f>
        <v>5</v>
      </c>
      <c r="L30" s="36"/>
    </row>
    <row r="31" spans="1:12" ht="24.75" thickBot="1" x14ac:dyDescent="0.3">
      <c r="A31" s="1"/>
      <c r="B31" s="50">
        <f t="shared" si="0"/>
        <v>22</v>
      </c>
      <c r="C31" s="57" t="s">
        <v>8</v>
      </c>
      <c r="D31" s="38" t="s">
        <v>52</v>
      </c>
      <c r="E31" s="39" t="s">
        <v>134</v>
      </c>
      <c r="F31" s="38" t="s">
        <v>207</v>
      </c>
      <c r="G31" s="39" t="s">
        <v>272</v>
      </c>
      <c r="H31" s="38" t="s">
        <v>328</v>
      </c>
      <c r="I31" s="39" t="s">
        <v>408</v>
      </c>
      <c r="J31" s="38">
        <v>2</v>
      </c>
      <c r="K31" s="39">
        <f t="shared" ref="K31" si="11">J31*5</f>
        <v>10</v>
      </c>
      <c r="L31" s="38"/>
    </row>
    <row r="32" spans="1:12" ht="15.75" thickBot="1" x14ac:dyDescent="0.3">
      <c r="A32" s="1"/>
      <c r="B32" s="50">
        <f>ROW(B32) - ROW($B$9)</f>
        <v>23</v>
      </c>
      <c r="C32" s="56" t="s">
        <v>10</v>
      </c>
      <c r="D32" s="36" t="s">
        <v>53</v>
      </c>
      <c r="E32" s="37" t="s">
        <v>135</v>
      </c>
      <c r="F32" s="36" t="s">
        <v>208</v>
      </c>
      <c r="G32" s="37" t="s">
        <v>273</v>
      </c>
      <c r="H32" s="36" t="s">
        <v>329</v>
      </c>
      <c r="I32" s="39" t="s">
        <v>408</v>
      </c>
      <c r="J32" s="36">
        <v>1</v>
      </c>
      <c r="K32" s="37">
        <f>J32*5</f>
        <v>5</v>
      </c>
      <c r="L32" s="36"/>
    </row>
    <row r="33" spans="1:12" ht="15.75" thickBot="1" x14ac:dyDescent="0.3">
      <c r="A33" s="1"/>
      <c r="B33" s="50">
        <f t="shared" si="0"/>
        <v>24</v>
      </c>
      <c r="C33" s="57" t="s">
        <v>11</v>
      </c>
      <c r="D33" s="38" t="s">
        <v>54</v>
      </c>
      <c r="E33" s="39" t="s">
        <v>136</v>
      </c>
      <c r="F33" s="38" t="s">
        <v>209</v>
      </c>
      <c r="G33" s="39" t="s">
        <v>274</v>
      </c>
      <c r="H33" s="38" t="s">
        <v>321</v>
      </c>
      <c r="I33" s="39" t="s">
        <v>408</v>
      </c>
      <c r="J33" s="38">
        <v>1</v>
      </c>
      <c r="K33" s="39">
        <f t="shared" ref="K33" si="12">J33*5</f>
        <v>5</v>
      </c>
      <c r="L33" s="38"/>
    </row>
    <row r="34" spans="1:12" ht="24.75" thickBot="1" x14ac:dyDescent="0.3">
      <c r="A34" s="1"/>
      <c r="B34" s="50">
        <f>ROW(B34) - ROW($B$9)</f>
        <v>25</v>
      </c>
      <c r="C34" s="56" t="s">
        <v>12</v>
      </c>
      <c r="D34" s="36" t="s">
        <v>55</v>
      </c>
      <c r="E34" s="37" t="s">
        <v>137</v>
      </c>
      <c r="F34" s="36" t="s">
        <v>210</v>
      </c>
      <c r="G34" s="37" t="s">
        <v>275</v>
      </c>
      <c r="H34" s="36" t="s">
        <v>330</v>
      </c>
      <c r="I34" s="39" t="s">
        <v>408</v>
      </c>
      <c r="J34" s="36">
        <v>1</v>
      </c>
      <c r="K34" s="37">
        <f>J34*5</f>
        <v>5</v>
      </c>
      <c r="L34" s="36"/>
    </row>
    <row r="35" spans="1:12" ht="48.75" thickBot="1" x14ac:dyDescent="0.3">
      <c r="A35" s="1"/>
      <c r="B35" s="50">
        <f t="shared" si="0"/>
        <v>26</v>
      </c>
      <c r="C35" s="57" t="s">
        <v>13</v>
      </c>
      <c r="D35" s="38" t="s">
        <v>56</v>
      </c>
      <c r="E35" s="39" t="s">
        <v>138</v>
      </c>
      <c r="F35" s="38" t="s">
        <v>211</v>
      </c>
      <c r="G35" s="39" t="s">
        <v>211</v>
      </c>
      <c r="H35" s="38" t="s">
        <v>331</v>
      </c>
      <c r="I35" s="39" t="s">
        <v>408</v>
      </c>
      <c r="J35" s="38">
        <v>2</v>
      </c>
      <c r="K35" s="39">
        <f t="shared" ref="K35" si="13">J35*5</f>
        <v>10</v>
      </c>
      <c r="L35" s="38"/>
    </row>
    <row r="36" spans="1:12" ht="36.75" thickBot="1" x14ac:dyDescent="0.3">
      <c r="A36" s="1"/>
      <c r="B36" s="50">
        <f>ROW(B36) - ROW($B$9)</f>
        <v>27</v>
      </c>
      <c r="C36" s="56" t="s">
        <v>14</v>
      </c>
      <c r="D36" s="36" t="s">
        <v>57</v>
      </c>
      <c r="E36" s="37" t="s">
        <v>139</v>
      </c>
      <c r="F36" s="36" t="s">
        <v>212</v>
      </c>
      <c r="G36" s="37" t="s">
        <v>212</v>
      </c>
      <c r="H36" s="36" t="s">
        <v>332</v>
      </c>
      <c r="I36" s="39" t="s">
        <v>408</v>
      </c>
      <c r="J36" s="36">
        <v>4</v>
      </c>
      <c r="K36" s="37">
        <f>J36*5</f>
        <v>20</v>
      </c>
      <c r="L36" s="36"/>
    </row>
    <row r="37" spans="1:12" ht="48.75" thickBot="1" x14ac:dyDescent="0.3">
      <c r="A37" s="1"/>
      <c r="B37" s="50">
        <f t="shared" si="0"/>
        <v>28</v>
      </c>
      <c r="C37" s="57" t="s">
        <v>15</v>
      </c>
      <c r="D37" s="38" t="s">
        <v>58</v>
      </c>
      <c r="E37" s="39" t="s">
        <v>140</v>
      </c>
      <c r="F37" s="38" t="s">
        <v>213</v>
      </c>
      <c r="G37" s="39" t="s">
        <v>213</v>
      </c>
      <c r="H37" s="38" t="s">
        <v>333</v>
      </c>
      <c r="I37" s="39" t="s">
        <v>408</v>
      </c>
      <c r="J37" s="38">
        <v>1</v>
      </c>
      <c r="K37" s="39">
        <f t="shared" ref="K37" si="14">J37*5</f>
        <v>5</v>
      </c>
      <c r="L37" s="38"/>
    </row>
    <row r="38" spans="1:12" ht="48.75" thickBot="1" x14ac:dyDescent="0.3">
      <c r="A38" s="1"/>
      <c r="B38" s="50">
        <f>ROW(B38) - ROW($B$9)</f>
        <v>29</v>
      </c>
      <c r="C38" s="56" t="s">
        <v>16</v>
      </c>
      <c r="D38" s="36" t="s">
        <v>59</v>
      </c>
      <c r="E38" s="37" t="s">
        <v>141</v>
      </c>
      <c r="F38" s="36" t="s">
        <v>214</v>
      </c>
      <c r="G38" s="37" t="s">
        <v>214</v>
      </c>
      <c r="H38" s="36" t="s">
        <v>334</v>
      </c>
      <c r="I38" s="39" t="s">
        <v>408</v>
      </c>
      <c r="J38" s="36">
        <v>1</v>
      </c>
      <c r="K38" s="37">
        <f>J38*5</f>
        <v>5</v>
      </c>
      <c r="L38" s="36"/>
    </row>
    <row r="39" spans="1:12" ht="36.75" thickBot="1" x14ac:dyDescent="0.3">
      <c r="A39" s="1"/>
      <c r="B39" s="50">
        <f t="shared" si="0"/>
        <v>30</v>
      </c>
      <c r="C39" s="57" t="s">
        <v>17</v>
      </c>
      <c r="D39" s="38" t="s">
        <v>60</v>
      </c>
      <c r="E39" s="39" t="s">
        <v>142</v>
      </c>
      <c r="F39" s="38" t="s">
        <v>215</v>
      </c>
      <c r="G39" s="39" t="s">
        <v>276</v>
      </c>
      <c r="H39" s="38" t="s">
        <v>335</v>
      </c>
      <c r="I39" s="39" t="s">
        <v>408</v>
      </c>
      <c r="J39" s="38">
        <v>1</v>
      </c>
      <c r="K39" s="39">
        <f t="shared" ref="K39" si="15">J39*5</f>
        <v>5</v>
      </c>
      <c r="L39" s="38"/>
    </row>
    <row r="40" spans="1:12" ht="15.75" thickBot="1" x14ac:dyDescent="0.3">
      <c r="A40" s="1"/>
      <c r="B40" s="50">
        <f>ROW(B40) - ROW($B$9)</f>
        <v>31</v>
      </c>
      <c r="C40" s="56" t="s">
        <v>18</v>
      </c>
      <c r="D40" s="36" t="s">
        <v>61</v>
      </c>
      <c r="E40" s="37" t="s">
        <v>143</v>
      </c>
      <c r="F40" s="36" t="s">
        <v>216</v>
      </c>
      <c r="G40" s="37" t="s">
        <v>277</v>
      </c>
      <c r="H40" s="36"/>
      <c r="I40" s="39" t="s">
        <v>408</v>
      </c>
      <c r="J40" s="36">
        <v>1</v>
      </c>
      <c r="K40" s="37">
        <f>J40*5</f>
        <v>5</v>
      </c>
      <c r="L40" s="36"/>
    </row>
    <row r="41" spans="1:12" ht="36.75" thickBot="1" x14ac:dyDescent="0.3">
      <c r="A41" s="1"/>
      <c r="B41" s="50">
        <f t="shared" si="0"/>
        <v>32</v>
      </c>
      <c r="C41" s="57" t="s">
        <v>19</v>
      </c>
      <c r="D41" s="38" t="s">
        <v>62</v>
      </c>
      <c r="E41" s="39" t="s">
        <v>144</v>
      </c>
      <c r="F41" s="38" t="s">
        <v>217</v>
      </c>
      <c r="G41" s="39" t="s">
        <v>217</v>
      </c>
      <c r="H41" s="38" t="s">
        <v>336</v>
      </c>
      <c r="I41" s="39" t="s">
        <v>408</v>
      </c>
      <c r="J41" s="38">
        <v>1</v>
      </c>
      <c r="K41" s="39">
        <f t="shared" ref="K41" si="16">J41*5</f>
        <v>5</v>
      </c>
      <c r="L41" s="38"/>
    </row>
    <row r="42" spans="1:12" ht="15.75" thickBot="1" x14ac:dyDescent="0.3">
      <c r="A42" s="1"/>
      <c r="B42" s="50">
        <f>ROW(B42) - ROW($B$9)</f>
        <v>33</v>
      </c>
      <c r="C42" s="56" t="s">
        <v>20</v>
      </c>
      <c r="D42" s="36" t="s">
        <v>63</v>
      </c>
      <c r="E42" s="37" t="s">
        <v>145</v>
      </c>
      <c r="F42" s="36" t="s">
        <v>218</v>
      </c>
      <c r="G42" s="37" t="s">
        <v>218</v>
      </c>
      <c r="H42" s="36" t="s">
        <v>337</v>
      </c>
      <c r="I42" s="39" t="s">
        <v>408</v>
      </c>
      <c r="J42" s="36">
        <v>2</v>
      </c>
      <c r="K42" s="37">
        <f>J42*5</f>
        <v>10</v>
      </c>
      <c r="L42" s="36"/>
    </row>
    <row r="43" spans="1:12" ht="15.75" thickBot="1" x14ac:dyDescent="0.3">
      <c r="A43" s="1"/>
      <c r="B43" s="50">
        <f t="shared" si="0"/>
        <v>34</v>
      </c>
      <c r="C43" s="57" t="s">
        <v>21</v>
      </c>
      <c r="D43" s="38" t="s">
        <v>64</v>
      </c>
      <c r="E43" s="39" t="s">
        <v>146</v>
      </c>
      <c r="F43" s="38" t="s">
        <v>219</v>
      </c>
      <c r="G43" s="39" t="s">
        <v>219</v>
      </c>
      <c r="H43" s="38" t="s">
        <v>338</v>
      </c>
      <c r="I43" s="39" t="s">
        <v>372</v>
      </c>
      <c r="J43" s="38">
        <v>1</v>
      </c>
      <c r="K43" s="39">
        <f t="shared" ref="K43" si="17">J43*5</f>
        <v>5</v>
      </c>
      <c r="L43" s="38"/>
    </row>
    <row r="44" spans="1:12" ht="15.75" thickBot="1" x14ac:dyDescent="0.3">
      <c r="A44" s="1"/>
      <c r="B44" s="50">
        <f>ROW(B44) - ROW($B$9)</f>
        <v>35</v>
      </c>
      <c r="C44" s="56" t="s">
        <v>21</v>
      </c>
      <c r="D44" s="36" t="s">
        <v>65</v>
      </c>
      <c r="E44" s="37" t="s">
        <v>147</v>
      </c>
      <c r="F44" s="36" t="s">
        <v>220</v>
      </c>
      <c r="G44" s="37" t="s">
        <v>220</v>
      </c>
      <c r="H44" s="36" t="s">
        <v>323</v>
      </c>
      <c r="I44" s="37" t="s">
        <v>373</v>
      </c>
      <c r="J44" s="36">
        <v>1</v>
      </c>
      <c r="K44" s="37">
        <f>J44*5</f>
        <v>5</v>
      </c>
      <c r="L44" s="36"/>
    </row>
    <row r="45" spans="1:12" ht="24.75" thickBot="1" x14ac:dyDescent="0.3">
      <c r="A45" s="1"/>
      <c r="B45" s="50">
        <f t="shared" si="0"/>
        <v>36</v>
      </c>
      <c r="C45" s="57" t="s">
        <v>21</v>
      </c>
      <c r="D45" s="38" t="s">
        <v>66</v>
      </c>
      <c r="E45" s="39" t="s">
        <v>148</v>
      </c>
      <c r="F45" s="38" t="s">
        <v>221</v>
      </c>
      <c r="G45" s="39" t="s">
        <v>278</v>
      </c>
      <c r="H45" s="38" t="s">
        <v>339</v>
      </c>
      <c r="I45" s="39" t="s">
        <v>374</v>
      </c>
      <c r="J45" s="38">
        <v>1</v>
      </c>
      <c r="K45" s="39">
        <f t="shared" ref="K45" si="18">J45*5</f>
        <v>5</v>
      </c>
      <c r="L45" s="38"/>
    </row>
    <row r="46" spans="1:12" ht="15.75" thickBot="1" x14ac:dyDescent="0.3">
      <c r="A46" s="1"/>
      <c r="B46" s="50">
        <f>ROW(B46) - ROW($B$9)</f>
        <v>37</v>
      </c>
      <c r="C46" s="57" t="s">
        <v>21</v>
      </c>
      <c r="D46" s="36" t="s">
        <v>67</v>
      </c>
      <c r="E46" s="37" t="s">
        <v>149</v>
      </c>
      <c r="F46" s="36" t="s">
        <v>222</v>
      </c>
      <c r="G46" s="37" t="s">
        <v>279</v>
      </c>
      <c r="H46" s="36" t="s">
        <v>340</v>
      </c>
      <c r="I46" s="37" t="s">
        <v>375</v>
      </c>
      <c r="J46" s="36">
        <v>1</v>
      </c>
      <c r="K46" s="37">
        <f>J46*5</f>
        <v>5</v>
      </c>
      <c r="L46" s="36"/>
    </row>
    <row r="47" spans="1:12" ht="24.75" thickBot="1" x14ac:dyDescent="0.3">
      <c r="A47" s="1"/>
      <c r="B47" s="50">
        <f t="shared" si="0"/>
        <v>38</v>
      </c>
      <c r="C47" s="57" t="s">
        <v>21</v>
      </c>
      <c r="D47" s="38" t="s">
        <v>68</v>
      </c>
      <c r="E47" s="39" t="s">
        <v>150</v>
      </c>
      <c r="F47" s="38" t="s">
        <v>222</v>
      </c>
      <c r="G47" s="39" t="s">
        <v>280</v>
      </c>
      <c r="H47" s="38" t="s">
        <v>341</v>
      </c>
      <c r="I47" s="39" t="s">
        <v>376</v>
      </c>
      <c r="J47" s="38">
        <v>1</v>
      </c>
      <c r="K47" s="39">
        <f t="shared" ref="K47" si="19">J47*5</f>
        <v>5</v>
      </c>
      <c r="L47" s="38"/>
    </row>
    <row r="48" spans="1:12" ht="24.75" thickBot="1" x14ac:dyDescent="0.3">
      <c r="A48" s="1"/>
      <c r="B48" s="50">
        <f>ROW(B48) - ROW($B$9)</f>
        <v>39</v>
      </c>
      <c r="C48" s="56" t="s">
        <v>22</v>
      </c>
      <c r="D48" s="36" t="s">
        <v>69</v>
      </c>
      <c r="E48" s="37" t="s">
        <v>151</v>
      </c>
      <c r="F48" s="36" t="s">
        <v>223</v>
      </c>
      <c r="G48" s="37" t="s">
        <v>281</v>
      </c>
      <c r="H48" s="36" t="s">
        <v>342</v>
      </c>
      <c r="I48" s="37" t="s">
        <v>408</v>
      </c>
      <c r="J48" s="36">
        <v>2</v>
      </c>
      <c r="K48" s="37">
        <f>J48*5</f>
        <v>10</v>
      </c>
      <c r="L48" s="36"/>
    </row>
    <row r="49" spans="1:12" ht="15.75" thickBot="1" x14ac:dyDescent="0.3">
      <c r="A49" s="1"/>
      <c r="B49" s="50">
        <f t="shared" si="0"/>
        <v>40</v>
      </c>
      <c r="C49" s="57" t="s">
        <v>23</v>
      </c>
      <c r="D49" s="38" t="s">
        <v>70</v>
      </c>
      <c r="E49" s="39" t="s">
        <v>152</v>
      </c>
      <c r="F49" s="38" t="s">
        <v>224</v>
      </c>
      <c r="G49" s="39" t="s">
        <v>224</v>
      </c>
      <c r="H49" s="38" t="s">
        <v>321</v>
      </c>
      <c r="I49" s="39" t="s">
        <v>408</v>
      </c>
      <c r="J49" s="38">
        <v>1</v>
      </c>
      <c r="K49" s="39">
        <f t="shared" ref="K49" si="20">J49*5</f>
        <v>5</v>
      </c>
      <c r="L49" s="38"/>
    </row>
    <row r="50" spans="1:12" ht="15.75" thickBot="1" x14ac:dyDescent="0.3">
      <c r="A50" s="1"/>
      <c r="B50" s="50">
        <f>ROW(B50) - ROW($B$9)</f>
        <v>41</v>
      </c>
      <c r="C50" s="56" t="s">
        <v>402</v>
      </c>
      <c r="D50" s="64" t="s">
        <v>71</v>
      </c>
      <c r="E50" s="65" t="s">
        <v>153</v>
      </c>
      <c r="F50" s="64" t="s">
        <v>225</v>
      </c>
      <c r="G50" s="65" t="s">
        <v>377</v>
      </c>
      <c r="H50" s="64" t="s">
        <v>408</v>
      </c>
      <c r="I50" s="65" t="s">
        <v>408</v>
      </c>
      <c r="J50" s="64">
        <v>8</v>
      </c>
      <c r="K50" s="65">
        <f>J50*5</f>
        <v>40</v>
      </c>
      <c r="L50" s="64"/>
    </row>
    <row r="51" spans="1:12" ht="48.75" thickBot="1" x14ac:dyDescent="0.3">
      <c r="A51" s="1"/>
      <c r="B51" s="50">
        <f t="shared" si="0"/>
        <v>42</v>
      </c>
      <c r="C51" s="57" t="s">
        <v>24</v>
      </c>
      <c r="D51" s="38" t="s">
        <v>72</v>
      </c>
      <c r="E51" s="39" t="s">
        <v>154</v>
      </c>
      <c r="F51" s="38" t="s">
        <v>226</v>
      </c>
      <c r="G51" s="39" t="s">
        <v>282</v>
      </c>
      <c r="H51" s="38" t="s">
        <v>328</v>
      </c>
      <c r="I51" s="39" t="s">
        <v>408</v>
      </c>
      <c r="J51" s="38">
        <v>1</v>
      </c>
      <c r="K51" s="39">
        <f t="shared" ref="K51" si="21">J51*5</f>
        <v>5</v>
      </c>
      <c r="L51" s="38"/>
    </row>
    <row r="52" spans="1:12" ht="48.75" thickBot="1" x14ac:dyDescent="0.3">
      <c r="A52" s="1"/>
      <c r="B52" s="50">
        <f>ROW(B52) - ROW($B$9)</f>
        <v>43</v>
      </c>
      <c r="C52" s="56" t="s">
        <v>24</v>
      </c>
      <c r="D52" s="36" t="s">
        <v>73</v>
      </c>
      <c r="E52" s="37" t="s">
        <v>155</v>
      </c>
      <c r="F52" s="36" t="s">
        <v>227</v>
      </c>
      <c r="G52" s="37" t="s">
        <v>283</v>
      </c>
      <c r="H52" s="36" t="s">
        <v>343</v>
      </c>
      <c r="I52" s="37" t="s">
        <v>408</v>
      </c>
      <c r="J52" s="36">
        <v>1</v>
      </c>
      <c r="K52" s="37">
        <f>J52*5</f>
        <v>5</v>
      </c>
      <c r="L52" s="36"/>
    </row>
    <row r="53" spans="1:12" ht="15.75" thickBot="1" x14ac:dyDescent="0.3">
      <c r="A53" s="1"/>
      <c r="B53" s="50">
        <f t="shared" si="0"/>
        <v>44</v>
      </c>
      <c r="C53" s="57" t="s">
        <v>24</v>
      </c>
      <c r="D53" s="38" t="s">
        <v>74</v>
      </c>
      <c r="E53" s="39" t="s">
        <v>156</v>
      </c>
      <c r="F53" s="38" t="s">
        <v>228</v>
      </c>
      <c r="G53" s="39" t="s">
        <v>284</v>
      </c>
      <c r="H53" s="38" t="s">
        <v>326</v>
      </c>
      <c r="I53" s="39" t="s">
        <v>408</v>
      </c>
      <c r="J53" s="38">
        <v>3</v>
      </c>
      <c r="K53" s="39">
        <f t="shared" ref="K53" si="22">J53*5</f>
        <v>15</v>
      </c>
      <c r="L53" s="38"/>
    </row>
    <row r="54" spans="1:12" ht="15.75" thickBot="1" x14ac:dyDescent="0.3">
      <c r="A54" s="1"/>
      <c r="B54" s="50">
        <f>ROW(B54) - ROW($B$9)</f>
        <v>45</v>
      </c>
      <c r="C54" s="56" t="s">
        <v>25</v>
      </c>
      <c r="D54" s="36" t="s">
        <v>75</v>
      </c>
      <c r="E54" s="37" t="s">
        <v>157</v>
      </c>
      <c r="F54" s="36" t="s">
        <v>229</v>
      </c>
      <c r="G54" s="37" t="s">
        <v>285</v>
      </c>
      <c r="H54" s="36" t="s">
        <v>344</v>
      </c>
      <c r="I54" s="37" t="s">
        <v>378</v>
      </c>
      <c r="J54" s="36">
        <v>2</v>
      </c>
      <c r="K54" s="37">
        <f>J54*5</f>
        <v>10</v>
      </c>
      <c r="L54" s="36"/>
    </row>
    <row r="55" spans="1:12" ht="15.75" thickBot="1" x14ac:dyDescent="0.3">
      <c r="A55" s="1"/>
      <c r="B55" s="50">
        <f t="shared" si="0"/>
        <v>46</v>
      </c>
      <c r="C55" s="56" t="s">
        <v>25</v>
      </c>
      <c r="D55" s="38" t="s">
        <v>76</v>
      </c>
      <c r="E55" s="39" t="s">
        <v>158</v>
      </c>
      <c r="F55" s="38" t="s">
        <v>229</v>
      </c>
      <c r="G55" s="39" t="s">
        <v>286</v>
      </c>
      <c r="H55" s="38" t="s">
        <v>320</v>
      </c>
      <c r="I55" s="39" t="s">
        <v>379</v>
      </c>
      <c r="J55" s="38">
        <v>6</v>
      </c>
      <c r="K55" s="39">
        <f t="shared" ref="K55" si="23">J55*5</f>
        <v>30</v>
      </c>
      <c r="L55" s="38"/>
    </row>
    <row r="56" spans="1:12" ht="15.75" thickBot="1" x14ac:dyDescent="0.3">
      <c r="A56" s="1"/>
      <c r="B56" s="50">
        <f>ROW(B56) - ROW($B$9)</f>
        <v>47</v>
      </c>
      <c r="C56" s="56" t="s">
        <v>25</v>
      </c>
      <c r="D56" s="36" t="s">
        <v>77</v>
      </c>
      <c r="E56" s="37" t="s">
        <v>159</v>
      </c>
      <c r="F56" s="36" t="s">
        <v>229</v>
      </c>
      <c r="G56" s="37" t="s">
        <v>287</v>
      </c>
      <c r="H56" s="36" t="s">
        <v>345</v>
      </c>
      <c r="I56" s="37" t="s">
        <v>380</v>
      </c>
      <c r="J56" s="36">
        <v>1</v>
      </c>
      <c r="K56" s="37">
        <f>J56*5</f>
        <v>5</v>
      </c>
      <c r="L56" s="36"/>
    </row>
    <row r="57" spans="1:12" ht="15.75" thickBot="1" x14ac:dyDescent="0.3">
      <c r="A57" s="1"/>
      <c r="B57" s="50">
        <f t="shared" si="0"/>
        <v>48</v>
      </c>
      <c r="C57" s="57" t="s">
        <v>25</v>
      </c>
      <c r="D57" s="38" t="s">
        <v>78</v>
      </c>
      <c r="E57" s="39" t="s">
        <v>160</v>
      </c>
      <c r="F57" s="38" t="s">
        <v>230</v>
      </c>
      <c r="G57" s="39" t="s">
        <v>288</v>
      </c>
      <c r="H57" s="38" t="s">
        <v>320</v>
      </c>
      <c r="I57" s="39" t="s">
        <v>381</v>
      </c>
      <c r="J57" s="38">
        <v>5</v>
      </c>
      <c r="K57" s="39">
        <f t="shared" ref="K57" si="24">J57*5</f>
        <v>25</v>
      </c>
      <c r="L57" s="38"/>
    </row>
    <row r="58" spans="1:12" ht="15.75" thickBot="1" x14ac:dyDescent="0.3">
      <c r="A58" s="1"/>
      <c r="B58" s="50">
        <f>ROW(B58) - ROW($B$9)</f>
        <v>49</v>
      </c>
      <c r="C58" s="56" t="s">
        <v>25</v>
      </c>
      <c r="D58" s="36" t="s">
        <v>79</v>
      </c>
      <c r="E58" s="37" t="s">
        <v>161</v>
      </c>
      <c r="F58" s="36" t="s">
        <v>229</v>
      </c>
      <c r="G58" s="37" t="s">
        <v>289</v>
      </c>
      <c r="H58" s="36" t="s">
        <v>320</v>
      </c>
      <c r="I58" s="37" t="s">
        <v>382</v>
      </c>
      <c r="J58" s="36">
        <v>1</v>
      </c>
      <c r="K58" s="37">
        <f>J58*5</f>
        <v>5</v>
      </c>
      <c r="L58" s="36"/>
    </row>
    <row r="59" spans="1:12" ht="15.75" thickBot="1" x14ac:dyDescent="0.3">
      <c r="A59" s="1"/>
      <c r="B59" s="50">
        <f t="shared" si="0"/>
        <v>50</v>
      </c>
      <c r="C59" s="57" t="s">
        <v>25</v>
      </c>
      <c r="D59" s="38" t="s">
        <v>80</v>
      </c>
      <c r="E59" s="39" t="s">
        <v>162</v>
      </c>
      <c r="F59" s="38" t="s">
        <v>231</v>
      </c>
      <c r="G59" s="39" t="s">
        <v>290</v>
      </c>
      <c r="H59" s="38" t="s">
        <v>320</v>
      </c>
      <c r="I59" s="39" t="s">
        <v>383</v>
      </c>
      <c r="J59" s="38">
        <v>1</v>
      </c>
      <c r="K59" s="39">
        <f t="shared" ref="K59" si="25">J59*5</f>
        <v>5</v>
      </c>
      <c r="L59" s="38"/>
    </row>
    <row r="60" spans="1:12" ht="15.75" thickBot="1" x14ac:dyDescent="0.3">
      <c r="A60" s="1"/>
      <c r="B60" s="50">
        <f>ROW(B60) - ROW($B$9)</f>
        <v>51</v>
      </c>
      <c r="C60" s="56" t="s">
        <v>25</v>
      </c>
      <c r="D60" s="36" t="s">
        <v>81</v>
      </c>
      <c r="E60" s="37" t="s">
        <v>163</v>
      </c>
      <c r="F60" s="36" t="s">
        <v>229</v>
      </c>
      <c r="G60" s="37" t="s">
        <v>291</v>
      </c>
      <c r="H60" s="36" t="s">
        <v>320</v>
      </c>
      <c r="I60" s="37" t="s">
        <v>384</v>
      </c>
      <c r="J60" s="36">
        <v>1</v>
      </c>
      <c r="K60" s="37">
        <f>J60*5</f>
        <v>5</v>
      </c>
      <c r="L60" s="36"/>
    </row>
    <row r="61" spans="1:12" ht="15.75" thickBot="1" x14ac:dyDescent="0.3">
      <c r="A61" s="1"/>
      <c r="B61" s="50">
        <f t="shared" si="0"/>
        <v>52</v>
      </c>
      <c r="C61" s="57" t="s">
        <v>25</v>
      </c>
      <c r="D61" s="38" t="s">
        <v>82</v>
      </c>
      <c r="E61" s="39" t="s">
        <v>164</v>
      </c>
      <c r="F61" s="38" t="s">
        <v>229</v>
      </c>
      <c r="G61" s="39" t="s">
        <v>292</v>
      </c>
      <c r="H61" s="38" t="s">
        <v>320</v>
      </c>
      <c r="I61" s="39" t="s">
        <v>385</v>
      </c>
      <c r="J61" s="38">
        <v>1</v>
      </c>
      <c r="K61" s="39">
        <f t="shared" ref="K61" si="26">J61*5</f>
        <v>5</v>
      </c>
      <c r="L61" s="38"/>
    </row>
    <row r="62" spans="1:12" ht="15.75" thickBot="1" x14ac:dyDescent="0.3">
      <c r="A62" s="1"/>
      <c r="B62" s="50">
        <f>ROW(B62) - ROW($B$9)</f>
        <v>53</v>
      </c>
      <c r="C62" s="56" t="s">
        <v>25</v>
      </c>
      <c r="D62" s="36" t="s">
        <v>83</v>
      </c>
      <c r="E62" s="37" t="s">
        <v>165</v>
      </c>
      <c r="F62" s="36" t="s">
        <v>232</v>
      </c>
      <c r="G62" s="37" t="s">
        <v>293</v>
      </c>
      <c r="H62" s="36" t="s">
        <v>320</v>
      </c>
      <c r="I62" s="37" t="s">
        <v>386</v>
      </c>
      <c r="J62" s="36">
        <v>7</v>
      </c>
      <c r="K62" s="37">
        <f>J62*5</f>
        <v>35</v>
      </c>
      <c r="L62" s="36"/>
    </row>
    <row r="63" spans="1:12" ht="15.75" thickBot="1" x14ac:dyDescent="0.3">
      <c r="A63" s="1"/>
      <c r="B63" s="50">
        <f t="shared" si="0"/>
        <v>54</v>
      </c>
      <c r="C63" s="56" t="s">
        <v>25</v>
      </c>
      <c r="D63" s="38" t="s">
        <v>84</v>
      </c>
      <c r="E63" s="39" t="s">
        <v>166</v>
      </c>
      <c r="F63" s="38" t="s">
        <v>232</v>
      </c>
      <c r="G63" s="39" t="s">
        <v>294</v>
      </c>
      <c r="H63" s="38" t="s">
        <v>320</v>
      </c>
      <c r="I63" s="39" t="s">
        <v>387</v>
      </c>
      <c r="J63" s="38">
        <v>3</v>
      </c>
      <c r="K63" s="39">
        <f t="shared" ref="K63" si="27">J63*5</f>
        <v>15</v>
      </c>
      <c r="L63" s="38"/>
    </row>
    <row r="64" spans="1:12" ht="15.75" thickBot="1" x14ac:dyDescent="0.3">
      <c r="A64" s="1"/>
      <c r="B64" s="50">
        <f>ROW(B64) - ROW($B$9)</f>
        <v>55</v>
      </c>
      <c r="C64" s="56" t="s">
        <v>25</v>
      </c>
      <c r="D64" s="36" t="s">
        <v>85</v>
      </c>
      <c r="E64" s="37" t="s">
        <v>167</v>
      </c>
      <c r="F64" s="36" t="s">
        <v>233</v>
      </c>
      <c r="G64" s="37" t="s">
        <v>295</v>
      </c>
      <c r="H64" s="36" t="s">
        <v>346</v>
      </c>
      <c r="I64" s="37" t="s">
        <v>388</v>
      </c>
      <c r="J64" s="36">
        <v>1</v>
      </c>
      <c r="K64" s="37">
        <f>J64*5</f>
        <v>5</v>
      </c>
      <c r="L64" s="36"/>
    </row>
    <row r="65" spans="1:12" ht="15.75" thickBot="1" x14ac:dyDescent="0.3">
      <c r="A65" s="1"/>
      <c r="B65" s="50">
        <f t="shared" si="0"/>
        <v>56</v>
      </c>
      <c r="C65" s="56" t="s">
        <v>25</v>
      </c>
      <c r="D65" s="38" t="s">
        <v>86</v>
      </c>
      <c r="E65" s="39" t="s">
        <v>168</v>
      </c>
      <c r="F65" s="38" t="s">
        <v>229</v>
      </c>
      <c r="G65" s="39" t="s">
        <v>296</v>
      </c>
      <c r="H65" s="38" t="s">
        <v>320</v>
      </c>
      <c r="I65" s="39" t="s">
        <v>389</v>
      </c>
      <c r="J65" s="38">
        <v>2</v>
      </c>
      <c r="K65" s="39">
        <f t="shared" ref="K65" si="28">J65*5</f>
        <v>10</v>
      </c>
      <c r="L65" s="38"/>
    </row>
    <row r="66" spans="1:12" ht="15.75" thickBot="1" x14ac:dyDescent="0.3">
      <c r="A66" s="1"/>
      <c r="B66" s="50">
        <f>ROW(B66) - ROW($B$9)</f>
        <v>57</v>
      </c>
      <c r="C66" s="56" t="s">
        <v>25</v>
      </c>
      <c r="D66" s="36" t="s">
        <v>87</v>
      </c>
      <c r="E66" s="37" t="s">
        <v>169</v>
      </c>
      <c r="F66" s="36" t="s">
        <v>231</v>
      </c>
      <c r="G66" s="37" t="s">
        <v>297</v>
      </c>
      <c r="H66" s="36" t="s">
        <v>320</v>
      </c>
      <c r="I66" s="37" t="s">
        <v>390</v>
      </c>
      <c r="J66" s="36">
        <v>1</v>
      </c>
      <c r="K66" s="37">
        <f>J66*5</f>
        <v>5</v>
      </c>
      <c r="L66" s="36"/>
    </row>
    <row r="67" spans="1:12" ht="15.75" thickBot="1" x14ac:dyDescent="0.3">
      <c r="A67" s="1"/>
      <c r="B67" s="50">
        <f t="shared" si="0"/>
        <v>58</v>
      </c>
      <c r="C67" s="56" t="s">
        <v>25</v>
      </c>
      <c r="D67" s="38" t="s">
        <v>88</v>
      </c>
      <c r="E67" s="39" t="s">
        <v>170</v>
      </c>
      <c r="F67" s="38" t="s">
        <v>229</v>
      </c>
      <c r="G67" s="39" t="s">
        <v>298</v>
      </c>
      <c r="H67" s="38" t="s">
        <v>320</v>
      </c>
      <c r="I67" s="39" t="s">
        <v>391</v>
      </c>
      <c r="J67" s="38">
        <v>1</v>
      </c>
      <c r="K67" s="39">
        <f t="shared" ref="K67" si="29">J67*5</f>
        <v>5</v>
      </c>
      <c r="L67" s="38"/>
    </row>
    <row r="68" spans="1:12" ht="36.75" thickBot="1" x14ac:dyDescent="0.3">
      <c r="A68" s="1"/>
      <c r="B68" s="50">
        <f>ROW(B68) - ROW($B$9)</f>
        <v>59</v>
      </c>
      <c r="C68" s="56" t="s">
        <v>25</v>
      </c>
      <c r="D68" s="36" t="s">
        <v>89</v>
      </c>
      <c r="E68" s="37" t="s">
        <v>171</v>
      </c>
      <c r="F68" s="36" t="s">
        <v>230</v>
      </c>
      <c r="G68" s="37" t="s">
        <v>299</v>
      </c>
      <c r="H68" s="36" t="s">
        <v>347</v>
      </c>
      <c r="I68" s="37" t="s">
        <v>392</v>
      </c>
      <c r="J68" s="36">
        <v>1</v>
      </c>
      <c r="K68" s="37">
        <f>J68*5</f>
        <v>5</v>
      </c>
      <c r="L68" s="36"/>
    </row>
    <row r="69" spans="1:12" ht="15.75" thickBot="1" x14ac:dyDescent="0.3">
      <c r="A69" s="1"/>
      <c r="B69" s="50">
        <f t="shared" si="0"/>
        <v>60</v>
      </c>
      <c r="C69" s="57" t="s">
        <v>25</v>
      </c>
      <c r="D69" s="38" t="s">
        <v>90</v>
      </c>
      <c r="E69" s="39" t="s">
        <v>172</v>
      </c>
      <c r="F69" s="38" t="s">
        <v>230</v>
      </c>
      <c r="G69" s="39" t="s">
        <v>300</v>
      </c>
      <c r="H69" s="38" t="s">
        <v>320</v>
      </c>
      <c r="I69" s="39" t="s">
        <v>393</v>
      </c>
      <c r="J69" s="38">
        <v>1</v>
      </c>
      <c r="K69" s="39">
        <f t="shared" ref="K69" si="30">J69*5</f>
        <v>5</v>
      </c>
      <c r="L69" s="38"/>
    </row>
    <row r="70" spans="1:12" ht="15.75" thickBot="1" x14ac:dyDescent="0.3">
      <c r="A70" s="1"/>
      <c r="B70" s="50">
        <f>ROW(B70) - ROW($B$9)</f>
        <v>61</v>
      </c>
      <c r="C70" s="56" t="s">
        <v>25</v>
      </c>
      <c r="D70" s="36" t="s">
        <v>91</v>
      </c>
      <c r="E70" s="37" t="s">
        <v>173</v>
      </c>
      <c r="F70" s="36" t="s">
        <v>229</v>
      </c>
      <c r="G70" s="37" t="s">
        <v>301</v>
      </c>
      <c r="H70" s="36" t="s">
        <v>320</v>
      </c>
      <c r="I70" s="37" t="s">
        <v>394</v>
      </c>
      <c r="J70" s="36">
        <v>1</v>
      </c>
      <c r="K70" s="37">
        <f>J70*5</f>
        <v>5</v>
      </c>
      <c r="L70" s="36"/>
    </row>
    <row r="71" spans="1:12" ht="36.75" thickBot="1" x14ac:dyDescent="0.3">
      <c r="A71" s="1"/>
      <c r="B71" s="50">
        <f t="shared" si="0"/>
        <v>62</v>
      </c>
      <c r="C71" s="57" t="s">
        <v>25</v>
      </c>
      <c r="D71" s="38" t="s">
        <v>92</v>
      </c>
      <c r="E71" s="39" t="s">
        <v>174</v>
      </c>
      <c r="F71" s="38" t="s">
        <v>230</v>
      </c>
      <c r="G71" s="39" t="s">
        <v>302</v>
      </c>
      <c r="H71" s="38" t="s">
        <v>320</v>
      </c>
      <c r="I71" s="39" t="s">
        <v>395</v>
      </c>
      <c r="J71" s="38">
        <v>1</v>
      </c>
      <c r="K71" s="39">
        <f t="shared" ref="K71" si="31">J71*5</f>
        <v>5</v>
      </c>
      <c r="L71" s="38"/>
    </row>
    <row r="72" spans="1:12" ht="15.75" thickBot="1" x14ac:dyDescent="0.3">
      <c r="A72" s="1"/>
      <c r="B72" s="50">
        <f>ROW(B72) - ROW($B$9)</f>
        <v>63</v>
      </c>
      <c r="C72" s="56" t="s">
        <v>25</v>
      </c>
      <c r="D72" s="36" t="s">
        <v>93</v>
      </c>
      <c r="E72" s="37" t="s">
        <v>175</v>
      </c>
      <c r="F72" s="36" t="s">
        <v>232</v>
      </c>
      <c r="G72" s="37" t="s">
        <v>303</v>
      </c>
      <c r="H72" s="36" t="s">
        <v>320</v>
      </c>
      <c r="I72" s="37" t="s">
        <v>396</v>
      </c>
      <c r="J72" s="36">
        <v>1</v>
      </c>
      <c r="K72" s="37">
        <f>J72*5</f>
        <v>5</v>
      </c>
      <c r="L72" s="36"/>
    </row>
    <row r="73" spans="1:12" ht="15.75" thickBot="1" x14ac:dyDescent="0.3">
      <c r="A73" s="1"/>
      <c r="B73" s="50">
        <f t="shared" si="0"/>
        <v>64</v>
      </c>
      <c r="C73" s="56" t="s">
        <v>25</v>
      </c>
      <c r="D73" s="38" t="s">
        <v>94</v>
      </c>
      <c r="E73" s="39" t="s">
        <v>176</v>
      </c>
      <c r="F73" s="38" t="s">
        <v>229</v>
      </c>
      <c r="G73" s="39" t="s">
        <v>304</v>
      </c>
      <c r="H73" s="38" t="s">
        <v>320</v>
      </c>
      <c r="I73" s="39" t="s">
        <v>397</v>
      </c>
      <c r="J73" s="38">
        <v>1</v>
      </c>
      <c r="K73" s="39">
        <f t="shared" ref="K73" si="32">J73*5</f>
        <v>5</v>
      </c>
      <c r="L73" s="38"/>
    </row>
    <row r="74" spans="1:12" ht="15.75" thickBot="1" x14ac:dyDescent="0.3">
      <c r="A74" s="1"/>
      <c r="B74" s="50">
        <f>ROW(B74) - ROW($B$9)</f>
        <v>65</v>
      </c>
      <c r="C74" s="56" t="s">
        <v>25</v>
      </c>
      <c r="D74" s="36" t="s">
        <v>95</v>
      </c>
      <c r="E74" s="37" t="s">
        <v>177</v>
      </c>
      <c r="F74" s="36" t="s">
        <v>229</v>
      </c>
      <c r="G74" s="37" t="s">
        <v>305</v>
      </c>
      <c r="H74" s="36" t="s">
        <v>320</v>
      </c>
      <c r="I74" s="37" t="s">
        <v>398</v>
      </c>
      <c r="J74" s="36">
        <v>7</v>
      </c>
      <c r="K74" s="37">
        <f>J74*5</f>
        <v>35</v>
      </c>
      <c r="L74" s="36"/>
    </row>
    <row r="75" spans="1:12" ht="15.75" thickBot="1" x14ac:dyDescent="0.3">
      <c r="A75" s="1"/>
      <c r="B75" s="50">
        <f t="shared" si="0"/>
        <v>66</v>
      </c>
      <c r="C75" s="56" t="s">
        <v>25</v>
      </c>
      <c r="D75" s="38" t="s">
        <v>96</v>
      </c>
      <c r="E75" s="39" t="s">
        <v>178</v>
      </c>
      <c r="F75" s="38" t="s">
        <v>234</v>
      </c>
      <c r="G75" s="39" t="s">
        <v>306</v>
      </c>
      <c r="H75" s="38" t="s">
        <v>320</v>
      </c>
      <c r="I75" s="39" t="s">
        <v>399</v>
      </c>
      <c r="J75" s="38">
        <v>1</v>
      </c>
      <c r="K75" s="39">
        <f t="shared" ref="K75" si="33">J75*5</f>
        <v>5</v>
      </c>
      <c r="L75" s="38"/>
    </row>
    <row r="76" spans="1:12" ht="15.75" thickBot="1" x14ac:dyDescent="0.3">
      <c r="A76" s="1"/>
      <c r="B76" s="50">
        <f>ROW(B76) - ROW($B$9)</f>
        <v>67</v>
      </c>
      <c r="C76" s="56" t="s">
        <v>25</v>
      </c>
      <c r="D76" s="36" t="s">
        <v>97</v>
      </c>
      <c r="E76" s="37" t="s">
        <v>179</v>
      </c>
      <c r="F76" s="36" t="s">
        <v>235</v>
      </c>
      <c r="G76" s="37" t="s">
        <v>307</v>
      </c>
      <c r="H76" s="36" t="s">
        <v>320</v>
      </c>
      <c r="I76" s="37" t="s">
        <v>379</v>
      </c>
      <c r="J76" s="36">
        <v>1</v>
      </c>
      <c r="K76" s="37">
        <f>J76*5</f>
        <v>5</v>
      </c>
      <c r="L76" s="36"/>
    </row>
    <row r="77" spans="1:12" ht="24.75" thickBot="1" x14ac:dyDescent="0.3">
      <c r="A77" s="1"/>
      <c r="B77" s="50">
        <f t="shared" si="0"/>
        <v>68</v>
      </c>
      <c r="C77" s="57" t="s">
        <v>26</v>
      </c>
      <c r="D77" s="38" t="s">
        <v>98</v>
      </c>
      <c r="E77" s="39" t="s">
        <v>180</v>
      </c>
      <c r="F77" s="38" t="s">
        <v>236</v>
      </c>
      <c r="G77" s="39" t="s">
        <v>236</v>
      </c>
      <c r="H77" s="38" t="s">
        <v>348</v>
      </c>
      <c r="I77" s="39" t="s">
        <v>408</v>
      </c>
      <c r="J77" s="38">
        <v>1</v>
      </c>
      <c r="K77" s="39">
        <f t="shared" ref="K77" si="34">J77*5</f>
        <v>5</v>
      </c>
      <c r="L77" s="38"/>
    </row>
    <row r="78" spans="1:12" ht="24.75" thickBot="1" x14ac:dyDescent="0.3">
      <c r="A78" s="1"/>
      <c r="B78" s="50">
        <f>ROW(B78) - ROW($B$9)</f>
        <v>69</v>
      </c>
      <c r="C78" s="56" t="s">
        <v>27</v>
      </c>
      <c r="D78" s="36" t="s">
        <v>99</v>
      </c>
      <c r="E78" s="37" t="s">
        <v>181</v>
      </c>
      <c r="F78" s="36" t="s">
        <v>237</v>
      </c>
      <c r="G78" s="37" t="s">
        <v>237</v>
      </c>
      <c r="H78" s="36" t="s">
        <v>349</v>
      </c>
      <c r="I78" s="37" t="s">
        <v>408</v>
      </c>
      <c r="J78" s="36">
        <v>2</v>
      </c>
      <c r="K78" s="37">
        <f>J78*5</f>
        <v>10</v>
      </c>
      <c r="L78" s="36"/>
    </row>
    <row r="79" spans="1:12" ht="15.75" thickBot="1" x14ac:dyDescent="0.3">
      <c r="A79" s="1"/>
      <c r="B79" s="50">
        <f t="shared" si="0"/>
        <v>70</v>
      </c>
      <c r="C79" s="57" t="s">
        <v>24</v>
      </c>
      <c r="D79" s="38" t="s">
        <v>100</v>
      </c>
      <c r="E79" s="39" t="s">
        <v>182</v>
      </c>
      <c r="F79" s="38" t="s">
        <v>238</v>
      </c>
      <c r="G79" s="39" t="s">
        <v>238</v>
      </c>
      <c r="H79" s="38" t="s">
        <v>349</v>
      </c>
      <c r="I79" s="37" t="s">
        <v>408</v>
      </c>
      <c r="J79" s="38">
        <v>1</v>
      </c>
      <c r="K79" s="39">
        <f t="shared" ref="K79" si="35">J79*5</f>
        <v>5</v>
      </c>
      <c r="L79" s="38"/>
    </row>
    <row r="80" spans="1:12" ht="15.75" thickBot="1" x14ac:dyDescent="0.3">
      <c r="A80" s="1"/>
      <c r="B80" s="50">
        <f>ROW(B80) - ROW($B$9)</f>
        <v>71</v>
      </c>
      <c r="C80" s="56" t="s">
        <v>27</v>
      </c>
      <c r="D80" s="36" t="s">
        <v>101</v>
      </c>
      <c r="E80" s="37" t="s">
        <v>183</v>
      </c>
      <c r="F80" s="36" t="s">
        <v>239</v>
      </c>
      <c r="G80" s="37" t="s">
        <v>308</v>
      </c>
      <c r="H80" s="36" t="s">
        <v>349</v>
      </c>
      <c r="I80" s="37" t="s">
        <v>408</v>
      </c>
      <c r="J80" s="36">
        <v>1</v>
      </c>
      <c r="K80" s="37">
        <f>J80*5</f>
        <v>5</v>
      </c>
      <c r="L80" s="36"/>
    </row>
    <row r="81" spans="1:12" ht="15.75" thickBot="1" x14ac:dyDescent="0.3">
      <c r="A81" s="1"/>
      <c r="B81" s="50">
        <f t="shared" si="0"/>
        <v>72</v>
      </c>
      <c r="C81" s="57" t="s">
        <v>27</v>
      </c>
      <c r="D81" s="38" t="s">
        <v>102</v>
      </c>
      <c r="E81" s="39" t="s">
        <v>184</v>
      </c>
      <c r="F81" s="38" t="s">
        <v>240</v>
      </c>
      <c r="G81" s="39" t="s">
        <v>309</v>
      </c>
      <c r="H81" s="38" t="s">
        <v>350</v>
      </c>
      <c r="I81" s="37" t="s">
        <v>408</v>
      </c>
      <c r="J81" s="38">
        <v>1</v>
      </c>
      <c r="K81" s="39">
        <f t="shared" ref="K81" si="36">J81*5</f>
        <v>5</v>
      </c>
      <c r="L81" s="38"/>
    </row>
    <row r="82" spans="1:12" ht="15.75" thickBot="1" x14ac:dyDescent="0.3">
      <c r="A82" s="1"/>
      <c r="B82" s="50">
        <f>ROW(B82) - ROW($B$9)</f>
        <v>73</v>
      </c>
      <c r="C82" s="56" t="s">
        <v>27</v>
      </c>
      <c r="D82" s="36" t="s">
        <v>103</v>
      </c>
      <c r="E82" s="37" t="s">
        <v>185</v>
      </c>
      <c r="F82" s="36" t="s">
        <v>241</v>
      </c>
      <c r="G82" s="37" t="s">
        <v>310</v>
      </c>
      <c r="H82" s="36" t="s">
        <v>326</v>
      </c>
      <c r="I82" s="37" t="s">
        <v>408</v>
      </c>
      <c r="J82" s="36">
        <v>1</v>
      </c>
      <c r="K82" s="37">
        <f>J82*5</f>
        <v>5</v>
      </c>
      <c r="L82" s="36"/>
    </row>
    <row r="83" spans="1:12" ht="15.75" thickBot="1" x14ac:dyDescent="0.3">
      <c r="A83" s="1"/>
      <c r="B83" s="50">
        <f t="shared" si="0"/>
        <v>74</v>
      </c>
      <c r="C83" s="57" t="s">
        <v>27</v>
      </c>
      <c r="D83" s="38" t="s">
        <v>104</v>
      </c>
      <c r="E83" s="39" t="s">
        <v>186</v>
      </c>
      <c r="F83" s="38" t="s">
        <v>242</v>
      </c>
      <c r="G83" s="39" t="s">
        <v>311</v>
      </c>
      <c r="H83" s="38" t="s">
        <v>351</v>
      </c>
      <c r="I83" s="37" t="s">
        <v>408</v>
      </c>
      <c r="J83" s="38">
        <v>1</v>
      </c>
      <c r="K83" s="39">
        <f t="shared" ref="K83" si="37">J83*5</f>
        <v>5</v>
      </c>
      <c r="L83" s="38"/>
    </row>
    <row r="84" spans="1:12" ht="15.75" thickBot="1" x14ac:dyDescent="0.3">
      <c r="A84" s="1"/>
      <c r="B84" s="50">
        <f>ROW(B84) - ROW($B$9)</f>
        <v>75</v>
      </c>
      <c r="C84" s="56" t="s">
        <v>27</v>
      </c>
      <c r="D84" s="36" t="s">
        <v>105</v>
      </c>
      <c r="E84" s="37" t="s">
        <v>187</v>
      </c>
      <c r="F84" s="36" t="s">
        <v>243</v>
      </c>
      <c r="G84" s="37" t="s">
        <v>312</v>
      </c>
      <c r="H84" s="36" t="s">
        <v>352</v>
      </c>
      <c r="I84" s="37" t="s">
        <v>408</v>
      </c>
      <c r="J84" s="36">
        <v>1</v>
      </c>
      <c r="K84" s="37">
        <f>J84*5</f>
        <v>5</v>
      </c>
      <c r="L84" s="36"/>
    </row>
    <row r="85" spans="1:12" ht="15.75" thickBot="1" x14ac:dyDescent="0.3">
      <c r="A85" s="1"/>
      <c r="B85" s="50">
        <f t="shared" si="0"/>
        <v>76</v>
      </c>
      <c r="C85" s="57" t="s">
        <v>27</v>
      </c>
      <c r="D85" s="38" t="s">
        <v>106</v>
      </c>
      <c r="E85" s="39" t="s">
        <v>188</v>
      </c>
      <c r="F85" s="38" t="s">
        <v>244</v>
      </c>
      <c r="G85" s="39" t="s">
        <v>313</v>
      </c>
      <c r="H85" s="38" t="s">
        <v>353</v>
      </c>
      <c r="I85" s="37" t="s">
        <v>408</v>
      </c>
      <c r="J85" s="38">
        <v>1</v>
      </c>
      <c r="K85" s="39">
        <f t="shared" ref="K85" si="38">J85*5</f>
        <v>5</v>
      </c>
      <c r="L85" s="38"/>
    </row>
    <row r="86" spans="1:12" ht="15.75" thickBot="1" x14ac:dyDescent="0.3">
      <c r="A86" s="1"/>
      <c r="B86" s="50">
        <f>ROW(B86) - ROW($B$9)</f>
        <v>77</v>
      </c>
      <c r="C86" s="56" t="s">
        <v>27</v>
      </c>
      <c r="D86" s="36" t="s">
        <v>107</v>
      </c>
      <c r="E86" s="37" t="s">
        <v>189</v>
      </c>
      <c r="F86" s="36" t="s">
        <v>245</v>
      </c>
      <c r="G86" s="37" t="s">
        <v>314</v>
      </c>
      <c r="H86" s="36" t="s">
        <v>349</v>
      </c>
      <c r="I86" s="37" t="s">
        <v>408</v>
      </c>
      <c r="J86" s="36">
        <v>1</v>
      </c>
      <c r="K86" s="37">
        <f>J86*5</f>
        <v>5</v>
      </c>
      <c r="L86" s="36"/>
    </row>
    <row r="87" spans="1:12" ht="24.75" thickBot="1" x14ac:dyDescent="0.3">
      <c r="A87" s="1"/>
      <c r="B87" s="50">
        <f t="shared" si="0"/>
        <v>78</v>
      </c>
      <c r="C87" s="57" t="s">
        <v>27</v>
      </c>
      <c r="D87" s="38" t="s">
        <v>108</v>
      </c>
      <c r="E87" s="39" t="s">
        <v>190</v>
      </c>
      <c r="F87" s="38" t="s">
        <v>246</v>
      </c>
      <c r="G87" s="39" t="s">
        <v>315</v>
      </c>
      <c r="H87" s="38" t="s">
        <v>348</v>
      </c>
      <c r="I87" s="37" t="s">
        <v>408</v>
      </c>
      <c r="J87" s="38">
        <v>1</v>
      </c>
      <c r="K87" s="39">
        <f t="shared" ref="K87" si="39">J87*5</f>
        <v>5</v>
      </c>
      <c r="L87" s="38"/>
    </row>
    <row r="88" spans="1:12" ht="15.75" thickBot="1" x14ac:dyDescent="0.3">
      <c r="A88" s="1"/>
      <c r="B88" s="50">
        <f>ROW(B88) - ROW($B$9)</f>
        <v>79</v>
      </c>
      <c r="C88" s="56" t="s">
        <v>27</v>
      </c>
      <c r="D88" s="36" t="s">
        <v>109</v>
      </c>
      <c r="E88" s="37" t="s">
        <v>191</v>
      </c>
      <c r="F88" s="36" t="s">
        <v>247</v>
      </c>
      <c r="G88" s="37" t="s">
        <v>316</v>
      </c>
      <c r="H88" s="36" t="s">
        <v>353</v>
      </c>
      <c r="I88" s="37" t="s">
        <v>408</v>
      </c>
      <c r="J88" s="36">
        <v>1</v>
      </c>
      <c r="K88" s="37">
        <f>J88*5</f>
        <v>5</v>
      </c>
      <c r="L88" s="36"/>
    </row>
    <row r="89" spans="1:12" ht="24.75" thickBot="1" x14ac:dyDescent="0.3">
      <c r="A89" s="1"/>
      <c r="B89" s="50">
        <f t="shared" si="0"/>
        <v>80</v>
      </c>
      <c r="C89" s="57" t="s">
        <v>27</v>
      </c>
      <c r="D89" s="38" t="s">
        <v>110</v>
      </c>
      <c r="E89" s="39" t="s">
        <v>192</v>
      </c>
      <c r="F89" s="38" t="s">
        <v>248</v>
      </c>
      <c r="G89" s="39" t="s">
        <v>317</v>
      </c>
      <c r="H89" s="38" t="s">
        <v>354</v>
      </c>
      <c r="I89" s="37" t="s">
        <v>408</v>
      </c>
      <c r="J89" s="38">
        <v>1</v>
      </c>
      <c r="K89" s="39">
        <f t="shared" ref="K89" si="40">J89*5</f>
        <v>5</v>
      </c>
      <c r="L89" s="38"/>
    </row>
    <row r="90" spans="1:12" ht="15.75" thickBot="1" x14ac:dyDescent="0.3">
      <c r="A90" s="1"/>
      <c r="B90" s="50">
        <f>ROW(B90) - ROW($B$9)</f>
        <v>81</v>
      </c>
      <c r="C90" s="56" t="s">
        <v>28</v>
      </c>
      <c r="D90" s="36" t="s">
        <v>111</v>
      </c>
      <c r="E90" s="37" t="s">
        <v>193</v>
      </c>
      <c r="F90" s="36" t="s">
        <v>249</v>
      </c>
      <c r="G90" s="37" t="s">
        <v>249</v>
      </c>
      <c r="H90" s="36" t="s">
        <v>355</v>
      </c>
      <c r="I90" s="37" t="s">
        <v>408</v>
      </c>
      <c r="J90" s="36">
        <v>1</v>
      </c>
      <c r="K90" s="37">
        <f>J90*5</f>
        <v>5</v>
      </c>
      <c r="L90" s="36"/>
    </row>
    <row r="91" spans="1:12" ht="24.75" thickBot="1" x14ac:dyDescent="0.3">
      <c r="A91" s="1"/>
      <c r="B91" s="50">
        <f t="shared" si="0"/>
        <v>82</v>
      </c>
      <c r="C91" s="57" t="s">
        <v>29</v>
      </c>
      <c r="D91" s="38" t="s">
        <v>112</v>
      </c>
      <c r="E91" s="39" t="s">
        <v>194</v>
      </c>
      <c r="F91" s="38" t="s">
        <v>250</v>
      </c>
      <c r="G91" s="39" t="s">
        <v>318</v>
      </c>
      <c r="H91" s="38" t="s">
        <v>356</v>
      </c>
      <c r="I91" s="39" t="s">
        <v>400</v>
      </c>
      <c r="J91" s="38">
        <v>1</v>
      </c>
      <c r="K91" s="39">
        <f t="shared" ref="K91:K92" si="41">J91*5</f>
        <v>5</v>
      </c>
      <c r="L91" s="38"/>
    </row>
    <row r="92" spans="1:12" ht="48.75" thickBot="1" x14ac:dyDescent="0.3">
      <c r="A92" s="1"/>
      <c r="B92" s="58">
        <v>83</v>
      </c>
      <c r="C92" s="57" t="s">
        <v>407</v>
      </c>
      <c r="D92" s="38" t="s">
        <v>408</v>
      </c>
      <c r="E92" s="39" t="s">
        <v>409</v>
      </c>
      <c r="F92" s="38" t="s">
        <v>408</v>
      </c>
      <c r="G92" s="39" t="s">
        <v>410</v>
      </c>
      <c r="H92" s="38" t="s">
        <v>408</v>
      </c>
      <c r="I92" s="39" t="s">
        <v>408</v>
      </c>
      <c r="J92" s="38">
        <v>1</v>
      </c>
      <c r="K92" s="39">
        <f t="shared" si="41"/>
        <v>5</v>
      </c>
      <c r="L92" s="38"/>
    </row>
    <row r="93" spans="1:12" x14ac:dyDescent="0.25">
      <c r="A93" s="1"/>
      <c r="B93" s="31"/>
      <c r="C93" s="48"/>
      <c r="D93" s="32"/>
      <c r="E93" s="33"/>
      <c r="F93" s="34"/>
      <c r="G93" s="35"/>
      <c r="H93" s="59"/>
      <c r="I93" s="60"/>
      <c r="J93" s="60"/>
      <c r="K93" s="60"/>
      <c r="L93" s="41"/>
    </row>
    <row r="94" spans="1:12" ht="15.75" thickBot="1" x14ac:dyDescent="0.3">
      <c r="A94" s="1"/>
      <c r="B94" s="24"/>
      <c r="C94" s="49"/>
      <c r="D94" s="8"/>
      <c r="E94" s="9"/>
      <c r="F94" s="9"/>
      <c r="G94" s="9"/>
      <c r="H94" s="9"/>
      <c r="I94" s="9"/>
      <c r="J94" s="9"/>
      <c r="K94" s="9"/>
      <c r="L94" s="42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2023-12-20T11:44:07Z</dcterms:modified>
</cp:coreProperties>
</file>